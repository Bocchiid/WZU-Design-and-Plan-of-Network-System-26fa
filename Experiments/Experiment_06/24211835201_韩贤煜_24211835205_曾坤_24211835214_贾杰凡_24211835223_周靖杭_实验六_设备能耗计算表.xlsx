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2d69b477e47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702a85afeff47da"/>
    <x:sheet xmlns:r="http://schemas.openxmlformats.org/officeDocument/2006/relationships" name="逐件估算" sheetId="2" r:id="R3eb99d09f8584f49"/>
    <x:sheet xmlns:r="http://schemas.openxmlformats.org/officeDocument/2006/relationships" name="补算依据" sheetId="3" r:id="R5fb8c5f243d9483c"/>
    <x:sheet xmlns:r="http://schemas.openxmlformats.org/officeDocument/2006/relationships" name="资料来源" sheetId="4" r:id="R323ed40dcde6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%"/>
    <x:numFmt numFmtId="203" formatCode="#,##0"/>
  </x:numFmts>
  <x:fonts count="4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/>
    </x:xf>
    <x:xf numFmtId="200" fontId="1" fillId="2" borderId="1" xfId="0" applyNumberFormat="1" applyFont="1" applyFill="1" applyBorder="1" applyAlignment="1">
      <x:alignment horizontal="right" vertical="center"/>
    </x:xf>
    <x:xf numFmtId="200" fontId="2" fillId="2" borderId="1" xfId="0" applyNumberFormat="1" applyFont="1" applyFill="1" applyBorder="1" applyAlignment="1">
      <x:alignment horizontal="right" vertical="center"/>
    </x:xf>
    <x:xf numFmtId="201" fontId="1" fillId="2" borderId="1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vertical="center"/>
    </x:xf>
    <x:xf numFmtId="201" fontId="1" fillId="2" borderId="1" xfId="0" applyNumberFormat="1" applyFont="1" applyFill="1" applyBorder="1" applyAlignment="1">
      <x:alignment horizontal="right" vertical="center"/>
    </x:xf>
    <x:xf numFmtId="201" fontId="2" fillId="2" borderId="1" xfId="0" applyNumberFormat="1" applyFont="1" applyFill="1" applyBorder="1" applyAlignment="1">
      <x:alignment horizontal="right" vertical="center"/>
    </x:xf>
    <x:xf numFmtId="202" fontId="1" fillId="2" borderId="1" xfId="0" applyNumberFormat="1" applyFont="1" applyFill="1" applyBorder="1" applyAlignment="1">
      <x:alignment vertical="center"/>
    </x:xf>
    <x:xf numFmtId="202" fontId="2" fillId="2" borderId="1" xfId="0" applyNumberFormat="1" applyFont="1" applyFill="1" applyBorder="1" applyAlignment="1">
      <x:alignment vertical="center"/>
    </x:xf>
    <x:xf numFmtId="202" fontId="1" fillId="2" borderId="1" xfId="0" applyNumberFormat="1" applyFont="1" applyFill="1" applyBorder="1" applyAlignment="1">
      <x:alignment horizontal="right" vertical="center"/>
    </x:xf>
    <x:xf numFmtId="202" fontId="2" fillId="2" borderId="1" xfId="0" applyNumberFormat="1" applyFont="1" applyFill="1" applyBorder="1" applyAlignment="1">
      <x:alignment horizontal="right" vertical="center"/>
    </x:xf>
    <x:xf numFmtId="203" fontId="1" fillId="2" borderId="1" xfId="0" applyNumberFormat="1" applyFont="1" applyFill="1" applyBorder="1" applyAlignment="1">
      <x:alignment vertical="center"/>
    </x:xf>
    <x:xf numFmtId="203" fontId="1" fillId="2" borderId="1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/>
    </x:xf>
    <x:xf numFmtId="201" fontId="2" fillId="2" borderId="1" xfId="0" applyNumberFormat="1" applyFont="1" applyFill="1" applyBorder="1" applyAlignment="1">
      <x:alignment horizontal="right" vertical="center" wrapText="1"/>
    </x:xf>
    <x:xf numFmtId="201" fontId="3" fillId="2" borderId="1" xfId="0" applyNumberFormat="1" applyFont="1" applyFill="1" applyBorder="1" applyAlignment="1">
      <x:alignment horizontal="right" vertical="center" wrapText="1"/>
    </x:xf>
    <x:xf numFmtId="200" fontId="3" fillId="2" borderId="1" xfId="0" applyNumberFormat="1" applyFont="1" applyFill="1" applyBorder="1" applyAlignment="1">
      <x:alignment horizontal="right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1" fillId="2" borderId="1" xfId="0" applyNumberFormat="1" applyFont="1" applyFill="1" applyBorder="1" applyAlignment="1">
      <x:alignment horizontal="center" vertical="center"/>
    </x:xf>
    <x:xf numFmtId="201" fontId="1" fillId="2" borderId="1" xfId="0" applyNumberFormat="1" applyFont="1" applyFill="1" applyBorder="1" applyAlignment="1">
      <x:alignment horizontal="center" vertical="center"/>
    </x:xf>
    <x:xf numFmtId="202" fontId="1" fillId="2" borderId="1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1" fontId="2" fillId="2" borderId="1" xfId="0" applyNumberFormat="1" applyFont="1" applyFill="1" applyBorder="1" applyAlignment="1">
      <x:alignment horizontal="center" vertical="center"/>
    </x:xf>
    <x:xf numFmtId="202" fontId="2" fillId="2" borderId="1" xfId="0" applyNumberFormat="1" applyFont="1" applyFill="1" applyBorder="1" applyAlignment="1">
      <x:alignment horizontal="center" vertical="center"/>
    </x:xf>
    <x:xf numFmtId="203" fontId="1" fillId="2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wrapText="1"/>
    </x:xf>
    <x:xf numFmtId="201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be46d1da7941ef" /><Relationship Type="http://schemas.openxmlformats.org/officeDocument/2006/relationships/theme" Target="/xl/theme/theme1.xml" Id="Rab64b82b3cfc47d9" /><Relationship Type="http://schemas.openxmlformats.org/officeDocument/2006/relationships/sharedStrings" Target="/xl/sharedStrings.xml" Id="R471c877eb3814102" /><Relationship Type="http://schemas.openxmlformats.org/officeDocument/2006/relationships/worksheet" Target="/xl/worksheets/sheet1.xml" Id="R2702a85afeff47da" /><Relationship Type="http://schemas.openxmlformats.org/officeDocument/2006/relationships/worksheet" Target="/xl/worksheets/sheet2.xml" Id="R3eb99d09f8584f49" /><Relationship Type="http://schemas.openxmlformats.org/officeDocument/2006/relationships/worksheet" Target="/xl/worksheets/sheet3.xml" Id="R5fb8c5f243d9483c" /><Relationship Type="http://schemas.openxmlformats.org/officeDocument/2006/relationships/worksheet" Target="/xl/worksheets/sheet4.xml" Id="R323ed40dcde64b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21" hidden="0" customWidth="1"/>
    <x:col min="2" max="2" width="15" hidden="0" customWidth="1"/>
    <x:col min="3" max="3" width="23" hidden="0" customWidth="1"/>
    <x:col min="4" max="4" width="23" hidden="0" customWidth="1"/>
    <x:col min="5" max="5" width="20" hidden="0" customWidth="1"/>
    <x:col min="6" max="6" width="24" hidden="0" customWidth="1"/>
  </x:cols>
  <x:sheetData>
    <x:row r="1" ht="36" customHeight="1">
      <x:c r="A1" s="7" t="str">
        <x:v>类别</x:v>
      </x:c>
      <x:c r="B1" s="7" t="str">
        <x:v>数量（台）</x:v>
      </x:c>
      <x:c r="C1" s="7" t="str">
        <x:v>运行功率（kW）</x:v>
      </x:c>
      <x:c r="D1" s="7" t="str">
        <x:v>规划功率（kW）</x:v>
      </x:c>
      <x:c r="E1" s="7" t="str">
        <x:v>运行功率占比</x:v>
      </x:c>
      <x:c r="F1" s="7" t="str">
        <x:v>年电量（kWh）</x:v>
      </x:c>
      <x:c r="G1" s="43"/>
      <x:c r="H1" s="43"/>
      <x:c r="I1" s="43"/>
      <x:c r="J1" s="43"/>
      <x:c r="K1" s="43"/>
      <x:c r="L1" s="43"/>
      <x:c r="M1" s="43"/>
      <x:c r="N1" s="43"/>
    </x:row>
    <x:row r="2" ht="26" customHeight="1">
      <x:c r="A2" s="35" t="str">
        <x:v>网络</x:v>
      </x:c>
      <x:c r="B2" s="36" t="n">
        <x:f>SUMIFS('逐件估算'!$E$2:$E$13,'逐件估算'!$B$2:$B$13,A2)</x:f>
        <x:v>13</x:v>
      </x:c>
      <x:c r="C2" s="37" t="n">
        <x:f>SUMIFS('逐件估算'!$G$2:$G$13,'逐件估算'!$B$2:$B$13,A2)/1000</x:f>
        <x:v>9.32251111111111</x:v>
      </x:c>
      <x:c r="D2" s="37" t="n">
        <x:f>SUMIFS('逐件估算'!$I$2:$I$13,'逐件估算'!$B$2:$B$13,A2)/1000</x:f>
        <x:v>13.589144444444445</x:v>
      </x:c>
      <x:c r="E2" s="38" t="n">
        <x:f>C2/$C$6</x:f>
        <x:v>0.3219469572869448</x:v>
      </x:c>
      <x:c r="F2" s="37" t="n">
        <x:f>SUMIFS('逐件估算'!$J$2:$J$13,'逐件估算'!$B$2:$B$13,A2)</x:f>
        <x:v>81665.19733333334</x:v>
      </x:c>
      <x:c r="G2" s="43"/>
      <x:c r="H2" s="43"/>
      <x:c r="I2" s="43"/>
      <x:c r="J2" s="43"/>
      <x:c r="K2" s="43"/>
      <x:c r="L2" s="43"/>
      <x:c r="M2" s="43"/>
      <x:c r="N2" s="43"/>
    </x:row>
    <x:row r="3" ht="26" customHeight="1">
      <x:c r="A3" s="35" t="str">
        <x:v>安全</x:v>
      </x:c>
      <x:c r="B3" s="36" t="n">
        <x:f>SUMIFS('逐件估算'!$E$2:$E$13,'逐件估算'!$B$2:$B$13,A3)</x:f>
        <x:v>3</x:v>
      </x:c>
      <x:c r="C3" s="37" t="n">
        <x:f>SUMIFS('逐件估算'!$G$2:$G$13,'逐件估算'!$B$2:$B$13,A3)/1000</x:f>
        <x:v>0.6741573033707865</x:v>
      </x:c>
      <x:c r="D3" s="37" t="n">
        <x:f>SUMIFS('逐件估算'!$I$2:$I$13,'逐件估算'!$B$2:$B$13,A3)/1000</x:f>
        <x:v>1.4117647058823533</x:v>
      </x:c>
      <x:c r="E3" s="38" t="n">
        <x:f>C3/$C$6</x:f>
        <x:v>0.023281591189986586</x:v>
      </x:c>
      <x:c r="F3" s="37" t="n">
        <x:f>SUMIFS('逐件估算'!$J$2:$J$13,'逐件估算'!$B$2:$B$13,A3)</x:f>
        <x:v>5905.61797752809</x:v>
      </x:c>
      <x:c r="G3" s="43"/>
      <x:c r="H3" s="43"/>
      <x:c r="I3" s="43"/>
      <x:c r="J3" s="43"/>
      <x:c r="K3" s="43"/>
      <x:c r="L3" s="43"/>
      <x:c r="M3" s="43"/>
      <x:c r="N3" s="43"/>
    </x:row>
    <x:row r="4" ht="26" customHeight="1">
      <x:c r="A4" s="35" t="str">
        <x:v>计算</x:v>
      </x:c>
      <x:c r="B4" s="36" t="n">
        <x:f>SUMIFS('逐件估算'!$E$2:$E$13,'逐件估算'!$B$2:$B$13,A4)</x:f>
        <x:v>55</x:v>
      </x:c>
      <x:c r="C4" s="37" t="n">
        <x:f>SUMIFS('逐件估算'!$G$2:$G$13,'逐件估算'!$B$2:$B$13,A4)/1000</x:f>
        <x:v>17.815124468085106</x:v>
      </x:c>
      <x:c r="D4" s="37" t="n">
        <x:f>SUMIFS('逐件估算'!$I$2:$I$13,'逐件估算'!$B$2:$B$13,A4)/1000</x:f>
        <x:v>28.826077777777773</x:v>
      </x:c>
      <x:c r="E4" s="38" t="n">
        <x:f>C4/$C$6</x:f>
        <x:v>0.6152339265492822</x:v>
      </x:c>
      <x:c r="F4" s="37" t="n">
        <x:f>SUMIFS('逐件估算'!$J$2:$J$13,'逐件估算'!$B$2:$B$13,A4)</x:f>
        <x:v>156060.49034042555</x:v>
      </x:c>
      <x:c r="G4" s="43"/>
      <x:c r="H4" s="43"/>
      <x:c r="I4" s="43"/>
      <x:c r="J4" s="43"/>
      <x:c r="K4" s="43"/>
      <x:c r="L4" s="43"/>
      <x:c r="M4" s="43"/>
      <x:c r="N4" s="43"/>
    </x:row>
    <x:row r="5" ht="26" customHeight="1">
      <x:c r="A5" s="35" t="str">
        <x:v>存储</x:v>
      </x:c>
      <x:c r="B5" s="36" t="n">
        <x:f>SUMIFS('逐件估算'!$E$2:$E$13,'逐件估算'!$B$2:$B$13,A5)</x:f>
        <x:v>1</x:v>
      </x:c>
      <x:c r="C5" s="37" t="n">
        <x:f>SUMIFS('逐件估算'!$G$2:$G$13,'逐件估算'!$B$2:$B$13,A5)/1000</x:f>
        <x:v>1.1448749787234043</x:v>
      </x:c>
      <x:c r="D5" s="37" t="n">
        <x:f>SUMIFS('逐件估算'!$I$2:$I$13,'逐件估算'!$B$2:$B$13,A5)/1000</x:f>
        <x:v>1.7740044444444443</x:v>
      </x:c>
      <x:c r="E5" s="38" t="n">
        <x:f>C5/$C$6</x:f>
        <x:v>0.039537524973786285</x:v>
      </x:c>
      <x:c r="F5" s="37" t="n">
        <x:f>SUMIFS('逐件估算'!$J$2:$J$13,'逐件估算'!$B$2:$B$13,A5)</x:f>
        <x:v>10029.104813617021</x:v>
      </x:c>
      <x:c r="G5" s="43"/>
      <x:c r="H5" s="43"/>
      <x:c r="I5" s="43"/>
      <x:c r="J5" s="43"/>
      <x:c r="K5" s="43"/>
      <x:c r="L5" s="43"/>
      <x:c r="M5" s="43"/>
      <x:c r="N5" s="43"/>
    </x:row>
    <x:row r="6" ht="26" customHeight="1">
      <x:c r="A6" s="6" t="str">
        <x:v>合计</x:v>
      </x:c>
      <x:c r="B6" s="39" t="n">
        <x:f>SUM(B2:B5)</x:f>
        <x:v>72</x:v>
      </x:c>
      <x:c r="C6" s="40" t="n">
        <x:f>SUM(C2:C5)</x:f>
        <x:v>28.95666786129041</x:v>
      </x:c>
      <x:c r="D6" s="40" t="n">
        <x:f>SUM(D2:D5)</x:f>
        <x:v>45.60099137254902</x:v>
      </x:c>
      <x:c r="E6" s="41" t="n">
        <x:f>SUM(E2:E5)</x:f>
        <x:v>0.9999999999999999</x:v>
      </x:c>
      <x:c r="F6" s="40" t="n">
        <x:f>SUM(F2:F5)</x:f>
        <x:v>253660.41046490398</x:v>
      </x:c>
      <x:c r="G6" s="43"/>
      <x:c r="H6" s="43"/>
      <x:c r="I6" s="43"/>
      <x:c r="J6" s="43"/>
      <x:c r="K6" s="43"/>
      <x:c r="L6" s="43"/>
      <x:c r="M6" s="43"/>
      <x:c r="N6" s="43"/>
    </x:row>
    <x:row r="7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</x:row>
    <x:row r="8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</x:row>
    <x:row r="9" ht="36" customHeight="1">
      <x:c r="A9" s="7" t="str">
        <x:v>时间与电量</x:v>
      </x:c>
      <x:c r="B9" s="7" t="str">
        <x:v>数值</x:v>
      </x:c>
      <x:c r="C9" s="7" t="str">
        <x:v>单位</x:v>
      </x:c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</x:row>
    <x:row r="10" ht="26" customHeight="1">
      <x:c r="A10" s="35" t="str">
        <x:v>每日运行时间</x:v>
      </x:c>
      <x:c r="B10" s="42" t="n">
        <x:v>24</x:v>
      </x:c>
      <x:c r="C10" s="35" t="str">
        <x:v>小时</x:v>
      </x:c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</x:row>
    <x:row r="11" ht="26" customHeight="1">
      <x:c r="A11" s="35" t="str">
        <x:v>年运行天数</x:v>
      </x:c>
      <x:c r="B11" s="42" t="n">
        <x:v>365</x:v>
      </x:c>
      <x:c r="C11" s="35" t="str">
        <x:v>天</x:v>
      </x:c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</x:row>
    <x:row r="12" ht="26" customHeight="1">
      <x:c r="A12" s="35" t="str">
        <x:v>年运行时间</x:v>
      </x:c>
      <x:c r="B12" s="42" t="n">
        <x:f>B10*B11</x:f>
        <x:v>8760</x:v>
      </x:c>
      <x:c r="C12" s="35" t="str">
        <x:v>小时</x:v>
      </x:c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</x:row>
    <x:row r="13" ht="26" customHeight="1">
      <x:c r="A13" s="35" t="str">
        <x:v>日电量</x:v>
      </x:c>
      <x:c r="B13" s="37" t="n">
        <x:f>C6*B10</x:f>
        <x:v>694.9600286709698</x:v>
      </x:c>
      <x:c r="C13" s="35" t="str">
        <x:v>kWh</x:v>
      </x:c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9" hidden="0" customWidth="1"/>
    <x:col min="3" max="3" width="23" hidden="0" customWidth="1"/>
    <x:col min="4" max="4" width="28" hidden="0" customWidth="1"/>
    <x:col min="5" max="5" width="11" hidden="0" customWidth="1"/>
    <x:col min="6" max="6" width="19" hidden="0" customWidth="1"/>
    <x:col min="7" max="7" width="20" hidden="0" customWidth="1"/>
    <x:col min="8" max="8" width="19" hidden="0" customWidth="1"/>
    <x:col min="9" max="9" width="20" hidden="0" customWidth="1"/>
    <x:col min="10" max="10" width="24" hidden="0" customWidth="1"/>
  </x:cols>
  <x:sheetData>
    <x:row r="1" ht="36" customHeight="1">
      <x:c r="A1" s="7" t="str">
        <x:v>序号</x:v>
      </x:c>
      <x:c r="B1" s="7" t="str">
        <x:v>类别</x:v>
      </x:c>
      <x:c r="C1" s="7" t="str">
        <x:v>设备用途</x:v>
      </x:c>
      <x:c r="D1" s="7" t="str">
        <x:v>型号</x:v>
      </x:c>
      <x:c r="E1" s="7" t="str">
        <x:v>数量（台）</x:v>
      </x:c>
      <x:c r="F1" s="7" t="str">
        <x:v>单台运行（W）</x:v>
      </x:c>
      <x:c r="G1" s="7" t="str">
        <x:v>运行小计（W）</x:v>
      </x:c>
      <x:c r="H1" s="7" t="str">
        <x:v>单台规划（W）</x:v>
      </x:c>
      <x:c r="I1" s="7" t="str">
        <x:v>规划小计（W）</x:v>
      </x:c>
      <x:c r="J1" s="7" t="str">
        <x:v>年电量（kWh）</x:v>
      </x:c>
      <x:c r="K1" s="43"/>
      <x:c r="L1" s="43"/>
      <x:c r="M1" s="43"/>
      <x:c r="N1" s="43"/>
    </x:row>
    <x:row r="2" ht="26" customHeight="1">
      <x:c r="A2" s="35" t="n">
        <x:v>1</x:v>
      </x:c>
      <x:c r="B2" s="35" t="str">
        <x:v>网络</x:v>
      </x:c>
      <x:c r="C2" s="35" t="str">
        <x:v>核心交换机</x:v>
      </x:c>
      <x:c r="D2" s="35" t="str">
        <x:v>Nexus 9504</x:v>
      </x:c>
      <x:c r="E2" s="36" t="n">
        <x:v>2</x:v>
      </x:c>
      <x:c r="F2" s="37" t="n">
        <x:f>'补算依据'!B13</x:f>
        <x:v>3123.5555555555557</x:v>
      </x:c>
      <x:c r="G2" s="37" t="n">
        <x:f>E2*F2</x:f>
        <x:v>6247.111111111111</x:v>
      </x:c>
      <x:c r="H2" s="37" t="n">
        <x:f>'补算依据'!C13</x:f>
        <x:v>4590.222222222222</x:v>
      </x:c>
      <x:c r="I2" s="37" t="n">
        <x:f>E2*H2</x:f>
        <x:v>9180.444444444443</x:v>
      </x:c>
      <x:c r="J2" s="37" t="n">
        <x:f>G2/1000*'汇总'!$B$12</x:f>
        <x:v>54724.693333333336</x:v>
      </x:c>
      <x:c r="K2" s="43"/>
      <x:c r="L2" s="43"/>
      <x:c r="M2" s="43"/>
      <x:c r="N2" s="43"/>
    </x:row>
    <x:row r="3" ht="26" customHeight="1">
      <x:c r="A3" s="35" t="n">
        <x:v>2</x:v>
      </x:c>
      <x:c r="B3" s="35" t="str">
        <x:v>网络</x:v>
      </x:c>
      <x:c r="C3" s="35" t="str">
        <x:v>接入交换机</x:v>
      </x:c>
      <x:c r="D3" s="35" t="str">
        <x:v>Nexus 93180YC-FX</x:v>
      </x:c>
      <x:c r="E3" s="36" t="n">
        <x:v>6</x:v>
      </x:c>
      <x:c r="F3" s="37" t="n">
        <x:f>'补算依据'!B23</x:f>
        <x:v>294</x:v>
      </x:c>
      <x:c r="G3" s="37" t="n">
        <x:f>E3*F3</x:f>
        <x:v>1764</x:v>
      </x:c>
      <x:c r="H3" s="37" t="n">
        <x:f>'补算依据'!C23</x:f>
        <x:v>459</x:v>
      </x:c>
      <x:c r="I3" s="37" t="n">
        <x:f>E3*H3</x:f>
        <x:v>2754</x:v>
      </x:c>
      <x:c r="J3" s="37" t="n">
        <x:f>G3/1000*'汇总'!$B$12</x:f>
        <x:v>15452.64</x:v>
      </x:c>
      <x:c r="K3" s="43"/>
      <x:c r="L3" s="43"/>
      <x:c r="M3" s="43"/>
      <x:c r="N3" s="43"/>
    </x:row>
    <x:row r="4" ht="26" customHeight="1">
      <x:c r="A4" s="35" t="n">
        <x:v>3</x:v>
      </x:c>
      <x:c r="B4" s="35" t="str">
        <x:v>网络</x:v>
      </x:c>
      <x:c r="C4" s="35" t="str">
        <x:v>管理交换机</x:v>
      </x:c>
      <x:c r="D4" s="35" t="str">
        <x:v>C9300-48T</x:v>
      </x:c>
      <x:c r="E4" s="36" t="n">
        <x:v>3</x:v>
      </x:c>
      <x:c r="F4" s="37" t="n">
        <x:f>'补算依据'!B27</x:f>
        <x:v>105.8</x:v>
      </x:c>
      <x:c r="G4" s="37" t="n">
        <x:f>E4*F4</x:f>
        <x:v>317.4</x:v>
      </x:c>
      <x:c r="H4" s="37" t="n">
        <x:f>'补算依据'!C27</x:f>
        <x:v>114.9</x:v>
      </x:c>
      <x:c r="I4" s="37" t="n">
        <x:f>E4*H4</x:f>
        <x:v>344.70000000000005</x:v>
      </x:c>
      <x:c r="J4" s="37" t="n">
        <x:f>G4/1000*'汇总'!$B$12</x:f>
        <x:v>2780.4239999999995</x:v>
      </x:c>
      <x:c r="K4" s="43"/>
      <x:c r="L4" s="43"/>
      <x:c r="M4" s="43"/>
      <x:c r="N4" s="43"/>
    </x:row>
    <x:row r="5" ht="26" customHeight="1">
      <x:c r="A5" s="35" t="n">
        <x:v>4</x:v>
      </x:c>
      <x:c r="B5" s="35" t="str">
        <x:v>网络</x:v>
      </x:c>
      <x:c r="C5" s="35" t="str">
        <x:v>FC存储交换机</x:v>
      </x:c>
      <x:c r="D5" s="35" t="str">
        <x:v>MDS 9396T</x:v>
      </x:c>
      <x:c r="E5" s="36" t="n">
        <x:v>2</x:v>
      </x:c>
      <x:c r="F5" s="37" t="n">
        <x:f>'补算依据'!B29</x:f>
        <x:v>497</x:v>
      </x:c>
      <x:c r="G5" s="37" t="n">
        <x:f>E5*F5</x:f>
        <x:v>994</x:v>
      </x:c>
      <x:c r="H5" s="37" t="n">
        <x:f>'补算依据'!C29</x:f>
        <x:v>655</x:v>
      </x:c>
      <x:c r="I5" s="37" t="n">
        <x:f>E5*H5</x:f>
        <x:v>1310</x:v>
      </x:c>
      <x:c r="J5" s="37" t="n">
        <x:f>G5/1000*'汇总'!$B$12</x:f>
        <x:v>8707.44</x:v>
      </x:c>
      <x:c r="K5" s="43"/>
      <x:c r="L5" s="43"/>
      <x:c r="M5" s="43"/>
      <x:c r="N5" s="43"/>
    </x:row>
    <x:row r="6" ht="26" customHeight="1">
      <x:c r="A6" s="35" t="n">
        <x:v>5</x:v>
      </x:c>
      <x:c r="B6" s="35" t="str">
        <x:v>安全</x:v>
      </x:c>
      <x:c r="C6" s="35" t="str">
        <x:v>出口防火墙</x:v>
      </x:c>
      <x:c r="D6" s="35" t="str">
        <x:v>Secure Firewall 3130</x:v>
      </x:c>
      <x:c r="E6" s="36" t="n">
        <x:v>2</x:v>
      </x:c>
      <x:c r="F6" s="37" t="n">
        <x:f>'补算依据'!B33</x:f>
        <x:v>224.7191011235955</x:v>
      </x:c>
      <x:c r="G6" s="37" t="n">
        <x:f>E6*F6</x:f>
        <x:v>449.438202247191</x:v>
      </x:c>
      <x:c r="H6" s="37" t="n">
        <x:f>'补算依据'!C33</x:f>
        <x:v>470.5882352941177</x:v>
      </x:c>
      <x:c r="I6" s="37" t="n">
        <x:f>E6*H6</x:f>
        <x:v>941.1764705882354</x:v>
      </x:c>
      <x:c r="J6" s="37" t="n">
        <x:f>G6/1000*'汇总'!$B$12</x:f>
        <x:v>3937.078651685393</x:v>
      </x:c>
      <x:c r="K6" s="43"/>
      <x:c r="L6" s="43"/>
      <x:c r="M6" s="43"/>
      <x:c r="N6" s="43"/>
    </x:row>
    <x:row r="7" ht="26" customHeight="1">
      <x:c r="A7" s="35" t="n">
        <x:v>6</x:v>
      </x:c>
      <x:c r="B7" s="35" t="str">
        <x:v>安全</x:v>
      </x:c>
      <x:c r="C7" s="35" t="str">
        <x:v>VPN汇聚设备</x:v>
      </x:c>
      <x:c r="D7" s="35" t="str">
        <x:v>Secure Firewall 3130</x:v>
      </x:c>
      <x:c r="E7" s="36" t="n">
        <x:v>1</x:v>
      </x:c>
      <x:c r="F7" s="37" t="n">
        <x:f>'补算依据'!B33</x:f>
        <x:v>224.7191011235955</x:v>
      </x:c>
      <x:c r="G7" s="37" t="n">
        <x:f>E7*F7</x:f>
        <x:v>224.7191011235955</x:v>
      </x:c>
      <x:c r="H7" s="37" t="n">
        <x:f>'补算依据'!C33</x:f>
        <x:v>470.5882352941177</x:v>
      </x:c>
      <x:c r="I7" s="37" t="n">
        <x:f>E7*H7</x:f>
        <x:v>470.5882352941177</x:v>
      </x:c>
      <x:c r="J7" s="37" t="n">
        <x:f>G7/1000*'汇总'!$B$12</x:f>
        <x:v>1968.5393258426966</x:v>
      </x:c>
      <x:c r="K7" s="43"/>
      <x:c r="L7" s="43"/>
      <x:c r="M7" s="43"/>
      <x:c r="N7" s="43"/>
    </x:row>
    <x:row r="8" ht="26" customHeight="1">
      <x:c r="A8" s="35" t="n">
        <x:v>7</x:v>
      </x:c>
      <x:c r="B8" s="35" t="str">
        <x:v>计算</x:v>
      </x:c>
      <x:c r="C8" s="35" t="str">
        <x:v>Hadoop服务器</x:v>
      </x:c>
      <x:c r="D8" s="35" t="str">
        <x:v>UCS C240 M6</x:v>
      </x:c>
      <x:c r="E8" s="36" t="n">
        <x:v>30</x:v>
      </x:c>
      <x:c r="F8" s="37" t="n">
        <x:f>'补算依据'!B19</x:f>
        <x:v>321.01</x:v>
      </x:c>
      <x:c r="G8" s="37" t="n">
        <x:f>E8*F8</x:f>
        <x:v>9630.3</x:v>
      </x:c>
      <x:c r="H8" s="37" t="n">
        <x:f>'补算依据'!C19</x:f>
        <x:v>519.06</x:v>
      </x:c>
      <x:c r="I8" s="37" t="n">
        <x:f>E8*H8</x:f>
        <x:v>15571.8</x:v>
      </x:c>
      <x:c r="J8" s="37" t="n">
        <x:f>G8/1000*'汇总'!$B$12</x:f>
        <x:v>84361.428</x:v>
      </x:c>
      <x:c r="K8" s="43"/>
      <x:c r="L8" s="43"/>
      <x:c r="M8" s="43"/>
      <x:c r="N8" s="43"/>
    </x:row>
    <x:row r="9" ht="26" customHeight="1">
      <x:c r="A9" s="35" t="n">
        <x:v>8</x:v>
      </x:c>
      <x:c r="B9" s="35" t="str">
        <x:v>计算</x:v>
      </x:c>
      <x:c r="C9" s="35" t="str">
        <x:v>缓存服务器</x:v>
      </x:c>
      <x:c r="D9" s="35" t="str">
        <x:v>UCS C240 M6</x:v>
      </x:c>
      <x:c r="E9" s="36" t="n">
        <x:v>13</x:v>
      </x:c>
      <x:c r="F9" s="37" t="n">
        <x:f>'补算依据'!B19</x:f>
        <x:v>321.01</x:v>
      </x:c>
      <x:c r="G9" s="37" t="n">
        <x:f>E9*F9</x:f>
        <x:v>4173.13</x:v>
      </x:c>
      <x:c r="H9" s="37" t="n">
        <x:f>'补算依据'!C19</x:f>
        <x:v>519.06</x:v>
      </x:c>
      <x:c r="I9" s="37" t="n">
        <x:f>E9*H9</x:f>
        <x:v>6747.779999999999</x:v>
      </x:c>
      <x:c r="J9" s="37" t="n">
        <x:f>G9/1000*'汇总'!$B$12</x:f>
        <x:v>36556.618800000004</x:v>
      </x:c>
      <x:c r="K9" s="43"/>
      <x:c r="L9" s="43"/>
      <x:c r="M9" s="43"/>
      <x:c r="N9" s="43"/>
    </x:row>
    <x:row r="10" ht="26" customHeight="1">
      <x:c r="A10" s="35" t="n">
        <x:v>9</x:v>
      </x:c>
      <x:c r="B10" s="35" t="str">
        <x:v>计算</x:v>
      </x:c>
      <x:c r="C10" s="35" t="str">
        <x:v>数据库服务器</x:v>
      </x:c>
      <x:c r="D10" s="35" t="str">
        <x:v>UCS C240 M6</x:v>
      </x:c>
      <x:c r="E10" s="36" t="n">
        <x:v>4</x:v>
      </x:c>
      <x:c r="F10" s="37" t="n">
        <x:f>'补算依据'!B18</x:f>
        <x:v>336.96744680851066</x:v>
      </x:c>
      <x:c r="G10" s="37" t="n">
        <x:f>E10*F10</x:f>
        <x:v>1347.8697872340426</x:v>
      </x:c>
      <x:c r="H10" s="37" t="n">
        <x:f>'补算依据'!C18</x:f>
        <x:v>546.8377777777778</x:v>
      </x:c>
      <x:c r="I10" s="37" t="n">
        <x:f>E10*H10</x:f>
        <x:v>2187.351111111111</x:v>
      </x:c>
      <x:c r="J10" s="37" t="n">
        <x:f>G10/1000*'汇总'!$B$12</x:f>
        <x:v>11807.339336170213</x:v>
      </x:c>
      <x:c r="K10" s="43"/>
      <x:c r="L10" s="43"/>
      <x:c r="M10" s="43"/>
      <x:c r="N10" s="43"/>
    </x:row>
    <x:row r="11" ht="26" customHeight="1">
      <x:c r="A11" s="35" t="n">
        <x:v>10</x:v>
      </x:c>
      <x:c r="B11" s="35" t="str">
        <x:v>计算</x:v>
      </x:c>
      <x:c r="C11" s="35" t="str">
        <x:v>虚拟化服务器</x:v>
      </x:c>
      <x:c r="D11" s="35" t="str">
        <x:v>UCS C240 M6</x:v>
      </x:c>
      <x:c r="E11" s="36" t="n">
        <x:v>6</x:v>
      </x:c>
      <x:c r="F11" s="37" t="n">
        <x:f>'补算依据'!B18</x:f>
        <x:v>336.96744680851066</x:v>
      </x:c>
      <x:c r="G11" s="37" t="n">
        <x:f>E11*F11</x:f>
        <x:v>2021.804680851064</x:v>
      </x:c>
      <x:c r="H11" s="37" t="n">
        <x:f>'补算依据'!C18</x:f>
        <x:v>546.8377777777778</x:v>
      </x:c>
      <x:c r="I11" s="37" t="n">
        <x:f>E11*H11</x:f>
        <x:v>3281.0266666666666</x:v>
      </x:c>
      <x:c r="J11" s="37" t="n">
        <x:f>G11/1000*'汇总'!$B$12</x:f>
        <x:v>17711.00900425532</x:v>
      </x:c>
      <x:c r="K11" s="43"/>
      <x:c r="L11" s="43"/>
      <x:c r="M11" s="43"/>
      <x:c r="N11" s="43"/>
    </x:row>
    <x:row r="12" ht="26" customHeight="1">
      <x:c r="A12" s="35" t="n">
        <x:v>11</x:v>
      </x:c>
      <x:c r="B12" s="35" t="str">
        <x:v>计算</x:v>
      </x:c>
      <x:c r="C12" s="35" t="str">
        <x:v>Named Node服务器</x:v>
      </x:c>
      <x:c r="D12" s="35" t="str">
        <x:v>UCS C240 M6</x:v>
      </x:c>
      <x:c r="E12" s="36" t="n">
        <x:v>2</x:v>
      </x:c>
      <x:c r="F12" s="37" t="n">
        <x:f>'补算依据'!B19</x:f>
        <x:v>321.01</x:v>
      </x:c>
      <x:c r="G12" s="37" t="n">
        <x:f>E12*F12</x:f>
        <x:v>642.02</x:v>
      </x:c>
      <x:c r="H12" s="37" t="n">
        <x:f>'补算依据'!C19</x:f>
        <x:v>519.06</x:v>
      </x:c>
      <x:c r="I12" s="37" t="n">
        <x:f>E12*H12</x:f>
        <x:v>1038.12</x:v>
      </x:c>
      <x:c r="J12" s="37" t="n">
        <x:f>G12/1000*'汇总'!$B$12</x:f>
        <x:v>5624.095200000001</x:v>
      </x:c>
      <x:c r="K12" s="43"/>
      <x:c r="L12" s="43"/>
      <x:c r="M12" s="43"/>
      <x:c r="N12" s="43"/>
    </x:row>
    <x:row r="13" ht="26" customHeight="1">
      <x:c r="A13" s="35" t="n">
        <x:v>12</x:v>
      </x:c>
      <x:c r="B13" s="35" t="str">
        <x:v>存储</x:v>
      </x:c>
      <x:c r="C13" s="35" t="str">
        <x:v>存储服务器</x:v>
      </x:c>
      <x:c r="D13" s="35" t="str">
        <x:v>UCS S3260 M5</x:v>
      </x:c>
      <x:c r="E13" s="36" t="n">
        <x:v>1</x:v>
      </x:c>
      <x:c r="F13" s="37" t="n">
        <x:f>'补算依据'!B51</x:f>
        <x:v>1144.8749787234042</x:v>
      </x:c>
      <x:c r="G13" s="37" t="n">
        <x:f>E13*F13</x:f>
        <x:v>1144.8749787234042</x:v>
      </x:c>
      <x:c r="H13" s="37" t="n">
        <x:f>'补算依据'!C51</x:f>
        <x:v>1774.0044444444443</x:v>
      </x:c>
      <x:c r="I13" s="37" t="n">
        <x:f>E13*H13</x:f>
        <x:v>1774.0044444444443</x:v>
      </x:c>
      <x:c r="J13" s="37" t="n">
        <x:f>G13/1000*'汇总'!$B$12</x:f>
        <x:v>10029.104813617021</x:v>
      </x:c>
      <x:c r="K13" s="43"/>
      <x:c r="L13" s="43"/>
      <x:c r="M13" s="43"/>
      <x:c r="N13" s="43"/>
    </x:row>
    <x:row r="14" ht="26" customHeight="1">
      <x:c r="A14" s="6" t="str">
        <x:v>合计</x:v>
      </x:c>
      <x:c r="B14" s="6"/>
      <x:c r="C14" s="6"/>
      <x:c r="D14" s="6"/>
      <x:c r="E14" s="39" t="n">
        <x:f>SUM(E2:E13)</x:f>
        <x:v>72</x:v>
      </x:c>
      <x:c r="F14" s="40"/>
      <x:c r="G14" s="40" t="n">
        <x:f>SUM(G2:G13)</x:f>
        <x:v>28956.667861290407</x:v>
      </x:c>
      <x:c r="H14" s="40"/>
      <x:c r="I14" s="40" t="n">
        <x:f>SUM(I2:I13)</x:f>
        <x:v>45600.99137254901</x:v>
      </x:c>
      <x:c r="J14" s="40" t="n">
        <x:f>SUM(J2:J13)</x:f>
        <x:v>253660.41046490398</x:v>
      </x:c>
      <x:c r="K14" s="43"/>
      <x:c r="L14" s="43"/>
      <x:c r="M14" s="43"/>
      <x:c r="N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65" hidden="0" customWidth="1"/>
  </x:cols>
  <x:sheetData>
    <x:row r="1" ht="36" customHeight="1">
      <x:c r="A1" s="7" t="str">
        <x:v>N9504组件</x:v>
      </x:c>
      <x:c r="B1" s="7" t="str">
        <x:v>数量</x:v>
      </x:c>
      <x:c r="C1" s="7" t="str">
        <x:v>典型输出（W）</x:v>
      </x:c>
      <x:c r="D1" s="7" t="str">
        <x:v>最大输出（W）</x:v>
      </x:c>
      <x:c r="E1" s="7" t="str">
        <x:v>典型小计（W）</x:v>
      </x:c>
      <x:c r="F1" s="7" t="str">
        <x:v>最大小计（W）</x:v>
      </x:c>
      <x:c r="G1" s="7" t="str">
        <x:v>依据</x:v>
      </x:c>
      <x:c r="H1" s="43"/>
      <x:c r="I1" s="43"/>
      <x:c r="J1" s="43"/>
      <x:c r="K1" s="43"/>
      <x:c r="L1" s="43"/>
      <x:c r="M1" s="43"/>
      <x:c r="N1" s="43"/>
    </x:row>
    <x:row r="2" ht="26" customHeight="1">
      <x:c r="A2" s="35" t="str">
        <x:v>SUP-A+</x:v>
      </x:c>
      <x:c r="B2" s="36" t="n">
        <x:v>2</x:v>
      </x:c>
      <x:c r="C2" s="37" t="n">
        <x:v>69</x:v>
      </x:c>
      <x:c r="D2" s="37" t="n">
        <x:v>80</x:v>
      </x:c>
      <x:c r="E2" s="37" t="n">
        <x:f>B2*C2</x:f>
        <x:v>138</x:v>
      </x:c>
      <x:c r="F2" s="37" t="n">
        <x:f>B2*D2</x:f>
        <x:v>160</x:v>
      </x:c>
      <x:c r="G2" s="44" t="str">
        <x:v>CPC实际结果页组件表 [2]</x:v>
      </x:c>
      <x:c r="H2" s="43"/>
      <x:c r="I2" s="43"/>
      <x:c r="J2" s="43"/>
      <x:c r="K2" s="43"/>
      <x:c r="L2" s="43"/>
      <x:c r="M2" s="43"/>
      <x:c r="N2" s="43"/>
    </x:row>
    <x:row r="3" ht="26" customHeight="1">
      <x:c r="A3" s="35" t="str">
        <x:v>SC-A及冗余预留</x:v>
      </x:c>
      <x:c r="B3" s="36" t="n">
        <x:v>2</x:v>
      </x:c>
      <x:c r="C3" s="37" t="n">
        <x:v>14</x:v>
      </x:c>
      <x:c r="D3" s="37" t="n">
        <x:v>25</x:v>
      </x:c>
      <x:c r="E3" s="37" t="n">
        <x:f>B3*C3</x:f>
        <x:v>28</x:v>
      </x:c>
      <x:c r="F3" s="37" t="n">
        <x:f>B3*D3</x:f>
        <x:v>50</x:v>
      </x:c>
      <x:c r="G3" s="44" t="str">
        <x:v>CPC实际结果页组件表 [2]</x:v>
      </x:c>
      <x:c r="H3" s="43"/>
      <x:c r="I3" s="43"/>
      <x:c r="J3" s="43"/>
      <x:c r="K3" s="43"/>
      <x:c r="L3" s="43"/>
      <x:c r="M3" s="43"/>
      <x:c r="N3" s="43"/>
    </x:row>
    <x:row r="4" ht="26" customHeight="1">
      <x:c r="A4" s="35" t="str">
        <x:v>FM-E</x:v>
      </x:c>
      <x:c r="B4" s="36" t="n">
        <x:v>2</x:v>
      </x:c>
      <x:c r="C4" s="37" t="n">
        <x:v>234</x:v>
      </x:c>
      <x:c r="D4" s="37" t="n">
        <x:v>313</x:v>
      </x:c>
      <x:c r="E4" s="37" t="n">
        <x:f>B4*C4</x:f>
        <x:v>468</x:v>
      </x:c>
      <x:c r="F4" s="37" t="n">
        <x:f>B4*D4</x:f>
        <x:v>626</x:v>
      </x:c>
      <x:c r="G4" s="44" t="str">
        <x:v>CPC实际结果页组件表 [2]</x:v>
      </x:c>
      <x:c r="H4" s="43"/>
      <x:c r="I4" s="43"/>
      <x:c r="J4" s="43"/>
      <x:c r="K4" s="43"/>
      <x:c r="L4" s="43"/>
      <x:c r="M4" s="43"/>
      <x:c r="N4" s="43"/>
    </x:row>
    <x:row r="5" ht="26" customHeight="1">
      <x:c r="A5" s="35" t="str">
        <x:v>X97160YC-EX</x:v>
      </x:c>
      <x:c r="B5" s="36" t="n">
        <x:v>1</x:v>
      </x:c>
      <x:c r="C5" s="37" t="n">
        <x:v>415</x:v>
      </x:c>
      <x:c r="D5" s="37" t="n">
        <x:v>516</x:v>
      </x:c>
      <x:c r="E5" s="37" t="n">
        <x:f>B5*C5</x:f>
        <x:v>415</x:v>
      </x:c>
      <x:c r="F5" s="37" t="n">
        <x:f>B5*D5</x:f>
        <x:v>516</x:v>
      </x:c>
      <x:c r="G5" s="44" t="str">
        <x:v>CPC实际结果页组件表 [2]</x:v>
      </x:c>
      <x:c r="H5" s="43"/>
      <x:c r="I5" s="43"/>
      <x:c r="J5" s="43"/>
      <x:c r="K5" s="43"/>
      <x:c r="L5" s="43"/>
      <x:c r="M5" s="43"/>
      <x:c r="N5" s="43"/>
    </x:row>
    <x:row r="6" ht="26" customHeight="1">
      <x:c r="A6" s="35" t="str">
        <x:v>X9736C-FX</x:v>
      </x:c>
      <x:c r="B6" s="36" t="n">
        <x:v>1</x:v>
      </x:c>
      <x:c r="C6" s="37" t="n">
        <x:v>765</x:v>
      </x:c>
      <x:c r="D6" s="37" t="n">
        <x:v>900</x:v>
      </x:c>
      <x:c r="E6" s="37" t="n">
        <x:f>B6*C6</x:f>
        <x:v>765</x:v>
      </x:c>
      <x:c r="F6" s="37" t="n">
        <x:f>B6*D6</x:f>
        <x:v>900</x:v>
      </x:c>
      <x:c r="G6" s="44" t="str">
        <x:v>CPC实际结果页组件表 [2]</x:v>
      </x:c>
      <x:c r="H6" s="43"/>
      <x:c r="I6" s="43"/>
      <x:c r="J6" s="43"/>
      <x:c r="K6" s="43"/>
      <x:c r="L6" s="43"/>
      <x:c r="M6" s="43"/>
      <x:c r="N6" s="43"/>
    </x:row>
    <x:row r="7" ht="26" customHeight="1">
      <x:c r="A7" s="35" t="str">
        <x:v>C9504-FAN2</x:v>
      </x:c>
      <x:c r="B7" s="36" t="n">
        <x:v>3</x:v>
      </x:c>
      <x:c r="C7" s="37" t="n">
        <x:v>306</x:v>
      </x:c>
      <x:c r="D7" s="37" t="n">
        <x:v>600</x:v>
      </x:c>
      <x:c r="E7" s="37" t="n">
        <x:f>B7*C7</x:f>
        <x:v>918</x:v>
      </x:c>
      <x:c r="F7" s="37" t="n">
        <x:f>B7*D7</x:f>
        <x:v>1800</x:v>
      </x:c>
      <x:c r="G7" s="44" t="str">
        <x:v>FAN2为未定配置的估算选择；功率采用CPC [2]</x:v>
      </x:c>
      <x:c r="H7" s="43"/>
      <x:c r="I7" s="43"/>
      <x:c r="J7" s="43"/>
      <x:c r="K7" s="43"/>
      <x:c r="L7" s="43"/>
      <x:c r="M7" s="43"/>
      <x:c r="N7" s="43"/>
    </x:row>
    <x:row r="8" ht="26" customHeight="1">
      <x:c r="A8" s="35" t="str">
        <x:v>组件DC合计</x:v>
      </x:c>
      <x:c r="B8" s="37"/>
      <x:c r="C8" s="37"/>
      <x:c r="D8" s="37"/>
      <x:c r="E8" s="37" t="n">
        <x:f>SUM(E2:E7)</x:f>
        <x:v>2732</x:v>
      </x:c>
      <x:c r="F8" s="37" t="n">
        <x:f>SUM(F2:F7)</x:f>
        <x:v>4052</x:v>
      </x:c>
      <x:c r="G8" s="44"/>
      <x:c r="H8" s="43"/>
      <x:c r="I8" s="43"/>
      <x:c r="J8" s="43"/>
      <x:c r="K8" s="43"/>
      <x:c r="L8" s="43"/>
      <x:c r="M8" s="43"/>
      <x:c r="N8" s="43"/>
    </x:row>
    <x:row r="9">
      <x:c r="A9" s="43"/>
      <x:c r="B9" s="50"/>
      <x:c r="C9" s="50"/>
      <x:c r="D9" s="50"/>
      <x:c r="E9" s="50"/>
      <x:c r="F9" s="50"/>
      <x:c r="G9" s="51"/>
      <x:c r="H9" s="43"/>
      <x:c r="I9" s="43"/>
      <x:c r="J9" s="43"/>
      <x:c r="K9" s="43"/>
      <x:c r="L9" s="43"/>
      <x:c r="M9" s="43"/>
      <x:c r="N9" s="43"/>
    </x:row>
    <x:row r="10" ht="30" customHeight="1">
      <x:c r="A10" s="7" t="str">
        <x:v>参数与整机功率</x:v>
      </x:c>
      <x:c r="B10" s="26" t="str">
        <x:v>运行</x:v>
      </x:c>
      <x:c r="C10" s="26" t="str">
        <x:v>规划</x:v>
      </x:c>
      <x:c r="D10" s="50"/>
      <x:c r="E10" s="50"/>
      <x:c r="F10" s="50"/>
      <x:c r="G10" s="51"/>
      <x:c r="H10" s="43"/>
      <x:c r="I10" s="43"/>
      <x:c r="J10" s="43"/>
      <x:c r="K10" s="43"/>
      <x:c r="L10" s="43"/>
      <x:c r="M10" s="43"/>
      <x:c r="N10" s="43"/>
    </x:row>
    <x:row r="11" ht="30" customHeight="1">
      <x:c r="A11" s="35" t="str">
        <x:v>节点/HBA转换效率</x:v>
      </x:c>
      <x:c r="B11" s="38" t="n">
        <x:v>0.94</x:v>
      </x:c>
      <x:c r="C11" s="38" t="n">
        <x:v>0.9</x:v>
      </x:c>
      <x:c r="D11" s="50"/>
      <x:c r="E11" s="50"/>
      <x:c r="F11" s="50"/>
      <x:c r="G11" s="51" t="str">
        <x:v>假设；N9504另用第62行的CPC效率</x:v>
      </x:c>
      <x:c r="H11" s="43"/>
      <x:c r="I11" s="43"/>
      <x:c r="J11" s="43"/>
      <x:c r="K11" s="43"/>
      <x:c r="L11" s="43"/>
      <x:c r="M11" s="43"/>
      <x:c r="N11" s="43"/>
    </x:row>
    <x:row r="12" ht="30" customHeight="1">
      <x:c r="A12" s="35" t="str">
        <x:v>核心光模块（W）</x:v>
      </x:c>
      <x:c r="B12" s="37" t="n">
        <x:v>88</x:v>
      </x:c>
      <x:c r="C12" s="37" t="n">
        <x:v>88</x:v>
      </x:c>
      <x:c r="D12" s="50"/>
      <x:c r="E12" s="50"/>
      <x:c r="F12" s="50"/>
      <x:c r="G12" s="51" t="str">
        <x:v>32×1 W＋16×3.5 W，假设余量</x:v>
      </x:c>
      <x:c r="H12" s="43"/>
      <x:c r="I12" s="43"/>
      <x:c r="J12" s="43"/>
      <x:c r="K12" s="43"/>
      <x:c r="L12" s="43"/>
      <x:c r="M12" s="43"/>
      <x:c r="N12" s="43"/>
    </x:row>
    <x:row r="13" ht="30" customHeight="1">
      <x:c r="A13" s="35" t="str">
        <x:v>N9504含余量AC（W）</x:v>
      </x:c>
      <x:c r="B13" s="37" t="n">
        <x:f>E8/B62+B12</x:f>
        <x:v>3123.5555555555557</x:v>
      </x:c>
      <x:c r="C13" s="37" t="n">
        <x:f>F8/C62+C12</x:f>
        <x:v>4590.222222222222</x:v>
      </x:c>
      <x:c r="D13" s="50"/>
      <x:c r="E13" s="50"/>
      <x:c r="F13" s="50"/>
      <x:c r="G13" s="51"/>
      <x:c r="H13" s="43"/>
      <x:c r="I13" s="43"/>
      <x:c r="J13" s="43"/>
      <x:c r="K13" s="43"/>
      <x:c r="L13" s="43"/>
      <x:c r="M13" s="43"/>
      <x:c r="N13" s="43"/>
    </x:row>
    <x:row r="14" ht="30" customHeight="1">
      <x:c r="A14" s="43"/>
      <x:c r="B14" s="50"/>
      <x:c r="C14" s="50"/>
      <x:c r="D14" s="50"/>
      <x:c r="E14" s="50"/>
      <x:c r="F14" s="50"/>
      <x:c r="G14" s="51"/>
      <x:c r="H14" s="43"/>
      <x:c r="I14" s="43"/>
      <x:c r="J14" s="43"/>
      <x:c r="K14" s="43"/>
      <x:c r="L14" s="43"/>
      <x:c r="M14" s="43"/>
      <x:c r="N14" s="43"/>
    </x:row>
    <x:row r="15" ht="30" customHeight="1">
      <x:c r="A15" s="35" t="str">
        <x:v>C240基准（W）</x:v>
      </x:c>
      <x:c r="B15" s="37" t="n">
        <x:v>319.01</x:v>
      </x:c>
      <x:c r="C15" s="37" t="n">
        <x:v>517.06</x:v>
      </x:c>
      <x:c r="D15" s="50"/>
      <x:c r="E15" s="50"/>
      <x:c r="F15" s="50"/>
      <x:c r="G15" s="51" t="str">
        <x:v>UCS工具，运行负载40% [1]；VIC1467替代原选型1457</x:v>
      </x:c>
      <x:c r="H15" s="43"/>
      <x:c r="I15" s="43"/>
      <x:c r="J15" s="43"/>
      <x:c r="K15" s="43"/>
      <x:c r="L15" s="43"/>
      <x:c r="M15" s="43"/>
      <x:c r="N15" s="43"/>
    </x:row>
    <x:row r="16" ht="30" customHeight="1">
      <x:c r="A16" s="35" t="str">
        <x:v>C240光模块（W）</x:v>
      </x:c>
      <x:c r="B16" s="37" t="n">
        <x:v>2</x:v>
      </x:c>
      <x:c r="C16" s="37" t="n">
        <x:v>2</x:v>
      </x:c>
      <x:c r="D16" s="50"/>
      <x:c r="E16" s="50"/>
      <x:c r="F16" s="50"/>
      <x:c r="G16" s="51" t="str">
        <x:v>假设余量</x:v>
      </x:c>
      <x:c r="H16" s="43"/>
      <x:c r="I16" s="43"/>
      <x:c r="J16" s="43"/>
      <x:c r="K16" s="43"/>
      <x:c r="L16" s="43"/>
      <x:c r="M16" s="43"/>
      <x:c r="N16" s="43"/>
    </x:row>
    <x:row r="17" ht="30" customHeight="1">
      <x:c r="A17" s="35" t="str">
        <x:v>双口FC HBA DC（W）</x:v>
      </x:c>
      <x:c r="B17" s="37" t="n">
        <x:v>15</x:v>
      </x:c>
      <x:c r="C17" s="37" t="n">
        <x:v>25</x:v>
      </x:c>
      <x:c r="D17" s="50"/>
      <x:c r="E17" s="50"/>
      <x:c r="F17" s="50"/>
      <x:c r="G17" s="51" t="str">
        <x:v>1块双口卡；功率为假设</x:v>
      </x:c>
      <x:c r="H17" s="43"/>
      <x:c r="I17" s="43"/>
      <x:c r="J17" s="43"/>
      <x:c r="K17" s="43"/>
      <x:c r="L17" s="43"/>
      <x:c r="M17" s="43"/>
      <x:c r="N17" s="43"/>
    </x:row>
    <x:row r="18" ht="30" customHeight="1">
      <x:c r="A18" s="35" t="str">
        <x:v>带FC C240 AC（W）</x:v>
      </x:c>
      <x:c r="B18" s="37" t="n">
        <x:f>B15+B16+B17/B11</x:f>
        <x:v>336.96744680851066</x:v>
      </x:c>
      <x:c r="C18" s="37" t="n">
        <x:f>C15+C16+C17/C11</x:f>
        <x:v>546.8377777777778</x:v>
      </x:c>
      <x:c r="D18" s="50"/>
      <x:c r="E18" s="50"/>
      <x:c r="F18" s="50"/>
      <x:c r="G18" s="51"/>
      <x:c r="H18" s="43"/>
      <x:c r="I18" s="43"/>
      <x:c r="J18" s="43"/>
      <x:c r="K18" s="43"/>
      <x:c r="L18" s="43"/>
      <x:c r="M18" s="43"/>
      <x:c r="N18" s="43"/>
    </x:row>
    <x:row r="19" ht="30" customHeight="1">
      <x:c r="A19" s="35" t="str">
        <x:v>普通C240 AC（W）</x:v>
      </x:c>
      <x:c r="B19" s="37" t="n">
        <x:f>B15+B16</x:f>
        <x:v>321.01</x:v>
      </x:c>
      <x:c r="C19" s="37" t="n">
        <x:f>C15+C16</x:f>
        <x:v>519.06</x:v>
      </x:c>
      <x:c r="D19" s="50"/>
      <x:c r="E19" s="50"/>
      <x:c r="F19" s="50"/>
      <x:c r="G19" s="51"/>
      <x:c r="H19" s="43"/>
      <x:c r="I19" s="43"/>
      <x:c r="J19" s="43"/>
      <x:c r="K19" s="43"/>
      <x:c r="L19" s="43"/>
      <x:c r="M19" s="43"/>
      <x:c r="N19" s="43"/>
    </x:row>
    <x:row r="20" ht="30" customHeight="1">
      <x:c r="A20" s="43"/>
      <x:c r="B20" s="50"/>
      <x:c r="C20" s="50"/>
      <x:c r="D20" s="50"/>
      <x:c r="E20" s="50"/>
      <x:c r="F20" s="50"/>
      <x:c r="G20" s="51"/>
      <x:c r="H20" s="43"/>
      <x:c r="I20" s="43"/>
      <x:c r="J20" s="43"/>
      <x:c r="K20" s="43"/>
      <x:c r="L20" s="43"/>
      <x:c r="M20" s="43"/>
      <x:c r="N20" s="43"/>
    </x:row>
    <x:row r="21" ht="30" customHeight="1">
      <x:c r="A21" s="35" t="str">
        <x:v>N93180基准（W）</x:v>
      </x:c>
      <x:c r="B21" s="37" t="n">
        <x:v>260</x:v>
      </x:c>
      <x:c r="C21" s="37" t="n">
        <x:v>425</x:v>
      </x:c>
      <x:c r="D21" s="50"/>
      <x:c r="E21" s="50"/>
      <x:c r="F21" s="50"/>
      <x:c r="G21" s="51" t="str">
        <x:v>官方典型/最大 [4]</x:v>
      </x:c>
      <x:c r="H21" s="43"/>
      <x:c r="I21" s="43"/>
      <x:c r="J21" s="43"/>
      <x:c r="K21" s="43"/>
      <x:c r="L21" s="43"/>
      <x:c r="M21" s="43"/>
      <x:c r="N21" s="43"/>
    </x:row>
    <x:row r="22" ht="30" customHeight="1">
      <x:c r="A22" s="35" t="str">
        <x:v>N93180光模块（W）</x:v>
      </x:c>
      <x:c r="B22" s="37" t="n">
        <x:v>34</x:v>
      </x:c>
      <x:c r="C22" s="37" t="n">
        <x:v>34</x:v>
      </x:c>
      <x:c r="D22" s="50"/>
      <x:c r="E22" s="50"/>
      <x:c r="F22" s="50"/>
      <x:c r="G22" s="51" t="str">
        <x:v>20×1 W＋4×3.5 W，假设余量</x:v>
      </x:c>
      <x:c r="H22" s="43"/>
      <x:c r="I22" s="43"/>
      <x:c r="J22" s="43"/>
      <x:c r="K22" s="43"/>
      <x:c r="L22" s="43"/>
      <x:c r="M22" s="43"/>
      <x:c r="N22" s="43"/>
    </x:row>
    <x:row r="23" ht="30" customHeight="1">
      <x:c r="A23" s="35" t="str">
        <x:v>N93180含余量AC（W）</x:v>
      </x:c>
      <x:c r="B23" s="37" t="n">
        <x:f>B21+B22</x:f>
        <x:v>294</x:v>
      </x:c>
      <x:c r="C23" s="37" t="n">
        <x:f>C21+C22</x:f>
        <x:v>459</x:v>
      </x:c>
      <x:c r="D23" s="50"/>
      <x:c r="E23" s="50"/>
      <x:c r="F23" s="50"/>
      <x:c r="G23" s="51"/>
      <x:c r="H23" s="43"/>
      <x:c r="I23" s="43"/>
      <x:c r="J23" s="43"/>
      <x:c r="K23" s="43"/>
      <x:c r="L23" s="43"/>
      <x:c r="M23" s="43"/>
      <x:c r="N23" s="43"/>
    </x:row>
    <x:row r="24" ht="30" customHeight="1">
      <x:c r="A24" s="43"/>
      <x:c r="B24" s="50"/>
      <x:c r="C24" s="50"/>
      <x:c r="D24" s="50"/>
      <x:c r="E24" s="50"/>
      <x:c r="F24" s="50"/>
      <x:c r="G24" s="51"/>
      <x:c r="H24" s="43"/>
      <x:c r="I24" s="43"/>
      <x:c r="J24" s="43"/>
      <x:c r="K24" s="43"/>
      <x:c r="L24" s="43"/>
      <x:c r="M24" s="43"/>
      <x:c r="N24" s="43"/>
    </x:row>
    <x:row r="25" ht="30" customHeight="1">
      <x:c r="A25" s="35" t="str">
        <x:v>C9300基准（W）</x:v>
      </x:c>
      <x:c r="B25" s="37" t="n">
        <x:v>100.8</x:v>
      </x:c>
      <x:c r="C25" s="37" t="n">
        <x:v>109.9</x:v>
      </x:c>
      <x:c r="D25" s="50"/>
      <x:c r="E25" s="50"/>
      <x:c r="F25" s="50"/>
      <x:c r="G25" s="51" t="str">
        <x:v>表24，230 VAC、NM-8X、350W-P；加权/全端口流量 [5]</x:v>
      </x:c>
      <x:c r="H25" s="43"/>
      <x:c r="I25" s="43"/>
      <x:c r="J25" s="43"/>
      <x:c r="K25" s="43"/>
      <x:c r="L25" s="43"/>
      <x:c r="M25" s="43"/>
      <x:c r="N25" s="43"/>
    </x:row>
    <x:row r="26" ht="30" customHeight="1">
      <x:c r="A26" s="35" t="str">
        <x:v>C9300备用电源（W）</x:v>
      </x:c>
      <x:c r="B26" s="37" t="n">
        <x:v>5</x:v>
      </x:c>
      <x:c r="C26" s="37" t="n">
        <x:v>5</x:v>
      </x:c>
      <x:c r="D26" s="50"/>
      <x:c r="E26" s="50"/>
      <x:c r="F26" s="50"/>
      <x:c r="G26" s="51" t="str">
        <x:v>假设</x:v>
      </x:c>
      <x:c r="H26" s="43"/>
      <x:c r="I26" s="43"/>
      <x:c r="J26" s="43"/>
      <x:c r="K26" s="43"/>
      <x:c r="L26" s="43"/>
      <x:c r="M26" s="43"/>
      <x:c r="N26" s="43"/>
    </x:row>
    <x:row r="27" ht="30" customHeight="1">
      <x:c r="A27" s="35" t="str">
        <x:v>C9300含余量AC（W）</x:v>
      </x:c>
      <x:c r="B27" s="37" t="n">
        <x:f>B25+B26</x:f>
        <x:v>105.8</x:v>
      </x:c>
      <x:c r="C27" s="37" t="n">
        <x:f>C25+C26</x:f>
        <x:v>114.9</x:v>
      </x:c>
      <x:c r="D27" s="50"/>
      <x:c r="E27" s="50"/>
      <x:c r="F27" s="50"/>
      <x:c r="G27" s="51"/>
      <x:c r="H27" s="43"/>
      <x:c r="I27" s="43"/>
      <x:c r="J27" s="43"/>
      <x:c r="K27" s="43"/>
      <x:c r="L27" s="43"/>
      <x:c r="M27" s="43"/>
      <x:c r="N27" s="43"/>
    </x:row>
    <x:row r="28" ht="30" customHeight="1">
      <x:c r="A28" s="43"/>
      <x:c r="B28" s="50"/>
      <x:c r="C28" s="50"/>
      <x:c r="D28" s="50"/>
      <x:c r="E28" s="50"/>
      <x:c r="F28" s="50"/>
      <x:c r="G28" s="51"/>
      <x:c r="H28" s="43"/>
      <x:c r="I28" s="43"/>
      <x:c r="J28" s="43"/>
      <x:c r="K28" s="43"/>
      <x:c r="L28" s="43"/>
      <x:c r="M28" s="43"/>
      <x:c r="N28" s="43"/>
    </x:row>
    <x:row r="29" ht="30" customHeight="1">
      <x:c r="A29" s="35" t="str">
        <x:v>MDS9396T整机（W）</x:v>
      </x:c>
      <x:c r="B29" s="37" t="n">
        <x:v>497</x:v>
      </x:c>
      <x:c r="C29" s="37" t="n">
        <x:v>655</x:v>
      </x:c>
      <x:c r="D29" s="50"/>
      <x:c r="E29" s="50"/>
      <x:c r="F29" s="50"/>
      <x:c r="G29" s="51" t="str">
        <x:v>表3，220 V/50 Hz；48口/25℃与96口/40℃ [6]</x:v>
      </x:c>
      <x:c r="H29" s="43"/>
      <x:c r="I29" s="43"/>
      <x:c r="J29" s="43"/>
      <x:c r="K29" s="43"/>
      <x:c r="L29" s="43"/>
      <x:c r="M29" s="43"/>
      <x:c r="N29" s="43"/>
    </x:row>
    <x:row r="30" ht="30" customHeight="1">
      <x:c r="A30" s="43"/>
      <x:c r="B30" s="50"/>
      <x:c r="C30" s="50"/>
      <x:c r="D30" s="50"/>
      <x:c r="E30" s="50"/>
      <x:c r="F30" s="50"/>
      <x:c r="G30" s="51"/>
      <x:c r="H30" s="43"/>
      <x:c r="I30" s="43"/>
      <x:c r="J30" s="43"/>
      <x:c r="K30" s="43"/>
      <x:c r="L30" s="43"/>
      <x:c r="M30" s="43"/>
      <x:c r="N30" s="43"/>
    </x:row>
    <x:row r="31" ht="30" customHeight="1">
      <x:c r="A31" s="35" t="str">
        <x:v>FPR3130 DC负载（W）</x:v>
      </x:c>
      <x:c r="B31" s="37" t="n">
        <x:v>200</x:v>
      </x:c>
      <x:c r="C31" s="37" t="n">
        <x:v>400</x:v>
      </x:c>
      <x:c r="D31" s="50"/>
      <x:c r="E31" s="50"/>
      <x:c r="F31" s="50"/>
      <x:c r="G31" s="51" t="str">
        <x:v>假设；官方仅核实400 W电源 [7]</x:v>
      </x:c>
      <x:c r="H31" s="43"/>
      <x:c r="I31" s="43"/>
      <x:c r="J31" s="43"/>
      <x:c r="K31" s="43"/>
      <x:c r="L31" s="43"/>
      <x:c r="M31" s="43"/>
      <x:c r="N31" s="43"/>
    </x:row>
    <x:row r="32" ht="30" customHeight="1">
      <x:c r="A32" s="35" t="str">
        <x:v>FPR3130效率</x:v>
      </x:c>
      <x:c r="B32" s="38" t="n">
        <x:v>0.89</x:v>
      </x:c>
      <x:c r="C32" s="38" t="n">
        <x:v>0.85</x:v>
      </x:c>
      <x:c r="D32" s="50"/>
      <x:c r="E32" s="50"/>
      <x:c r="F32" s="50"/>
      <x:c r="G32" s="51" t="str">
        <x:v>89%参考50%负载效率；85%为假设</x:v>
      </x:c>
      <x:c r="H32" s="43"/>
      <x:c r="I32" s="43"/>
      <x:c r="J32" s="43"/>
      <x:c r="K32" s="43"/>
      <x:c r="L32" s="43"/>
      <x:c r="M32" s="43"/>
      <x:c r="N32" s="43"/>
    </x:row>
    <x:row r="33" ht="30" customHeight="1">
      <x:c r="A33" s="35" t="str">
        <x:v>FPR3130 AC（W）</x:v>
      </x:c>
      <x:c r="B33" s="37" t="n">
        <x:f>B31/B32</x:f>
        <x:v>224.7191011235955</x:v>
      </x:c>
      <x:c r="C33" s="37" t="n">
        <x:f>C31/C32</x:f>
        <x:v>470.5882352941177</x:v>
      </x:c>
      <x:c r="D33" s="50"/>
      <x:c r="E33" s="50"/>
      <x:c r="F33" s="50"/>
      <x:c r="G33" s="51"/>
      <x:c r="H33" s="43"/>
      <x:c r="I33" s="43"/>
      <x:c r="J33" s="43"/>
      <x:c r="K33" s="43"/>
      <x:c r="L33" s="43"/>
      <x:c r="M33" s="43"/>
      <x:c r="N33" s="43"/>
    </x:row>
    <x:row r="34" ht="30" customHeight="1">
      <x:c r="A34" s="43"/>
      <x:c r="B34" s="50"/>
      <x:c r="C34" s="50"/>
      <x:c r="D34" s="50"/>
      <x:c r="E34" s="50"/>
      <x:c r="F34" s="50"/>
      <x:c r="G34" s="51"/>
      <x:c r="H34" s="43"/>
      <x:c r="I34" s="43"/>
      <x:c r="J34" s="43"/>
      <x:c r="K34" s="43"/>
      <x:c r="L34" s="43"/>
      <x:c r="M34" s="43"/>
      <x:c r="N34" s="43"/>
    </x:row>
    <x:row r="35" ht="30" customHeight="1">
      <x:c r="A35" s="35" t="str">
        <x:v>S3260机箱原值（W）</x:v>
      </x:c>
      <x:c r="B35" s="37" t="n">
        <x:v>403.78</x:v>
      </x:c>
      <x:c r="C35" s="37" t="n">
        <x:v>955.56</x:v>
      </x:c>
      <x:c r="D35" s="50"/>
      <x:c r="E35" s="50"/>
      <x:c r="F35" s="50"/>
      <x:c r="G35" s="51" t="str">
        <x:v>UCS仅计算机箱及48块12 TB硬盘，未包含节点 [1]</x:v>
      </x:c>
      <x:c r="H35" s="43"/>
      <x:c r="I35" s="43"/>
      <x:c r="J35" s="43"/>
      <x:c r="K35" s="43"/>
      <x:c r="L35" s="43"/>
      <x:c r="M35" s="43"/>
      <x:c r="N35" s="43"/>
    </x:row>
    <x:row r="36" ht="30" customHeight="1">
      <x:c r="A36" s="35" t="str">
        <x:v>S3260工作负载</x:v>
      </x:c>
      <x:c r="B36" s="38" t="n">
        <x:v>0.4</x:v>
      </x:c>
      <x:c r="C36" s="38"/>
      <x:c r="D36" s="50"/>
      <x:c r="E36" s="50"/>
      <x:c r="F36" s="50"/>
      <x:c r="G36" s="51" t="str">
        <x:v>40%为线性插值假设，非工具40%输出</x:v>
      </x:c>
      <x:c r="H36" s="43"/>
      <x:c r="I36" s="43"/>
      <x:c r="J36" s="43"/>
      <x:c r="K36" s="43"/>
      <x:c r="L36" s="43"/>
      <x:c r="M36" s="43"/>
      <x:c r="N36" s="43"/>
    </x:row>
    <x:row r="37" ht="30" customHeight="1">
      <x:c r="A37" s="35" t="str">
        <x:v>S3260机箱插值（W）</x:v>
      </x:c>
      <x:c r="B37" s="37" t="n">
        <x:f>B35+(C35-B35)*B36</x:f>
        <x:v>624.492</x:v>
      </x:c>
      <x:c r="C37" s="37" t="n">
        <x:f>C35</x:f>
        <x:v>955.56</x:v>
      </x:c>
      <x:c r="D37" s="50"/>
      <x:c r="E37" s="50"/>
      <x:c r="F37" s="50"/>
      <x:c r="G37" s="51"/>
      <x:c r="H37" s="43"/>
      <x:c r="I37" s="43"/>
      <x:c r="J37" s="43"/>
      <x:c r="K37" s="43"/>
      <x:c r="L37" s="43"/>
      <x:c r="M37" s="43"/>
      <x:c r="N37" s="43"/>
    </x:row>
    <x:row r="38" ht="30" customHeight="1">
      <x:c r="A38" s="43"/>
      <x:c r="B38" s="50"/>
      <x:c r="C38" s="50"/>
      <x:c r="D38" s="50"/>
      <x:c r="E38" s="50"/>
      <x:c r="F38" s="50"/>
      <x:c r="G38" s="51"/>
      <x:c r="H38" s="43"/>
      <x:c r="I38" s="43"/>
      <x:c r="J38" s="43"/>
      <x:c r="K38" s="43"/>
      <x:c r="L38" s="43"/>
      <x:c r="M38" s="43"/>
      <x:c r="N38" s="43"/>
    </x:row>
    <x:row r="39" ht="36" customHeight="1">
      <x:c r="A39" s="7" t="str">
        <x:v>每个M5节点部件</x:v>
      </x:c>
      <x:c r="B39" s="26" t="str">
        <x:v>数量</x:v>
      </x:c>
      <x:c r="C39" s="26" t="str">
        <x:v>运行DC（W）</x:v>
      </x:c>
      <x:c r="D39" s="26" t="str">
        <x:v>规划DC（W）</x:v>
      </x:c>
      <x:c r="E39" s="26" t="str">
        <x:v>运行小计（W）</x:v>
      </x:c>
      <x:c r="F39" s="26" t="str">
        <x:v>规划小计（W）</x:v>
      </x:c>
      <x:c r="G39" s="7" t="str">
        <x:v>依据</x:v>
      </x:c>
      <x:c r="H39" s="43"/>
      <x:c r="I39" s="43"/>
      <x:c r="J39" s="43"/>
      <x:c r="K39" s="43"/>
      <x:c r="L39" s="43"/>
      <x:c r="M39" s="43"/>
      <x:c r="N39" s="43"/>
    </x:row>
    <x:row r="40" ht="30" customHeight="1">
      <x:c r="A40" s="35" t="str">
        <x:v>Xeon Silver 4214</x:v>
      </x:c>
      <x:c r="B40" s="36" t="n">
        <x:v>2</x:v>
      </x:c>
      <x:c r="C40" s="37" t="n">
        <x:v>55</x:v>
      </x:c>
      <x:c r="D40" s="37" t="n">
        <x:v>85</x:v>
      </x:c>
      <x:c r="E40" s="37" t="n">
        <x:f>B40*C40</x:f>
        <x:v>110</x:v>
      </x:c>
      <x:c r="F40" s="37" t="n">
        <x:f>B40*D40</x:f>
        <x:v>170</x:v>
      </x:c>
      <x:c r="G40" s="44" t="str">
        <x:v>功率预算假设；CPU规划以85 W TDP为参考</x:v>
      </x:c>
      <x:c r="H40" s="43"/>
      <x:c r="I40" s="43"/>
      <x:c r="J40" s="43"/>
      <x:c r="K40" s="43"/>
      <x:c r="L40" s="43"/>
      <x:c r="M40" s="43"/>
      <x:c r="N40" s="43"/>
    </x:row>
    <x:row r="41" ht="30" customHeight="1">
      <x:c r="A41" s="35" t="str">
        <x:v>32 GB RDIMM</x:v>
      </x:c>
      <x:c r="B41" s="36" t="n">
        <x:v>8</x:v>
      </x:c>
      <x:c r="C41" s="37" t="n">
        <x:v>5</x:v>
      </x:c>
      <x:c r="D41" s="37" t="n">
        <x:v>8</x:v>
      </x:c>
      <x:c r="E41" s="37" t="n">
        <x:f>B41*C41</x:f>
        <x:v>40</x:v>
      </x:c>
      <x:c r="F41" s="37" t="n">
        <x:f>B41*D41</x:f>
        <x:v>64</x:v>
      </x:c>
      <x:c r="G41" s="44" t="str">
        <x:v>功率预算假设；CPU规划以85 W TDP为参考</x:v>
      </x:c>
      <x:c r="H41" s="43"/>
      <x:c r="I41" s="43"/>
      <x:c r="J41" s="43"/>
      <x:c r="K41" s="43"/>
      <x:c r="L41" s="43"/>
      <x:c r="M41" s="43"/>
      <x:c r="N41" s="43"/>
    </x:row>
    <x:row r="42" ht="30" customHeight="1">
      <x:c r="A42" s="35" t="str">
        <x:v>SAS3316 RAID</x:v>
      </x:c>
      <x:c r="B42" s="36" t="n">
        <x:v>1</x:v>
      </x:c>
      <x:c r="C42" s="37" t="n">
        <x:v>15</x:v>
      </x:c>
      <x:c r="D42" s="37" t="n">
        <x:v>25</x:v>
      </x:c>
      <x:c r="E42" s="37" t="n">
        <x:f>B42*C42</x:f>
        <x:v>15</x:v>
      </x:c>
      <x:c r="F42" s="37" t="n">
        <x:f>B42*D42</x:f>
        <x:v>25</x:v>
      </x:c>
      <x:c r="G42" s="44" t="str">
        <x:v>功率预算假设；CPU规划以85 W TDP为参考</x:v>
      </x:c>
      <x:c r="H42" s="43"/>
      <x:c r="I42" s="43"/>
      <x:c r="J42" s="43"/>
      <x:c r="K42" s="43"/>
      <x:c r="L42" s="43"/>
      <x:c r="M42" s="43"/>
      <x:c r="N42" s="43"/>
    </x:row>
    <x:row r="43" ht="30" customHeight="1">
      <x:c r="A43" s="35" t="str">
        <x:v>500 GB NVMe SSD</x:v>
      </x:c>
      <x:c r="B43" s="36" t="n">
        <x:v>1</x:v>
      </x:c>
      <x:c r="C43" s="37" t="n">
        <x:v>5</x:v>
      </x:c>
      <x:c r="D43" s="37" t="n">
        <x:v>8</x:v>
      </x:c>
      <x:c r="E43" s="37" t="n">
        <x:f>B43*C43</x:f>
        <x:v>5</x:v>
      </x:c>
      <x:c r="F43" s="37" t="n">
        <x:f>B43*D43</x:f>
        <x:v>8</x:v>
      </x:c>
      <x:c r="G43" s="44" t="str">
        <x:v>功率预算假设；CPU规划以85 W TDP为参考</x:v>
      </x:c>
      <x:c r="H43" s="43"/>
      <x:c r="I43" s="43"/>
      <x:c r="J43" s="43"/>
      <x:c r="K43" s="43"/>
      <x:c r="L43" s="43"/>
      <x:c r="M43" s="43"/>
      <x:c r="N43" s="43"/>
    </x:row>
    <x:row r="44" ht="30" customHeight="1">
      <x:c r="A44" s="35" t="str">
        <x:v>双口40G NIC</x:v>
      </x:c>
      <x:c r="B44" s="36" t="n">
        <x:v>1</x:v>
      </x:c>
      <x:c r="C44" s="37" t="n">
        <x:v>28</x:v>
      </x:c>
      <x:c r="D44" s="37" t="n">
        <x:v>35</x:v>
      </x:c>
      <x:c r="E44" s="37" t="n">
        <x:f>B44*C44</x:f>
        <x:v>28</x:v>
      </x:c>
      <x:c r="F44" s="37" t="n">
        <x:f>B44*D44</x:f>
        <x:v>35</x:v>
      </x:c>
      <x:c r="G44" s="44" t="str">
        <x:v>功率预算假设；CPU规划以85 W TDP为参考</x:v>
      </x:c>
      <x:c r="H44" s="43"/>
      <x:c r="I44" s="43"/>
      <x:c r="J44" s="43"/>
      <x:c r="K44" s="43"/>
      <x:c r="L44" s="43"/>
      <x:c r="M44" s="43"/>
      <x:c r="N44" s="43"/>
    </x:row>
    <x:row r="45" ht="30" customHeight="1">
      <x:c r="A45" s="35" t="str">
        <x:v>主板及其他部件</x:v>
      </x:c>
      <x:c r="B45" s="36" t="n">
        <x:v>1</x:v>
      </x:c>
      <x:c r="C45" s="37" t="n">
        <x:v>40</x:v>
      </x:c>
      <x:c r="D45" s="37" t="n">
        <x:v>60</x:v>
      </x:c>
      <x:c r="E45" s="37" t="n">
        <x:f>B45*C45</x:f>
        <x:v>40</x:v>
      </x:c>
      <x:c r="F45" s="37" t="n">
        <x:f>B45*D45</x:f>
        <x:v>60</x:v>
      </x:c>
      <x:c r="G45" s="44" t="str">
        <x:v>功率预算假设；CPU规划以85 W TDP为参考</x:v>
      </x:c>
      <x:c r="H45" s="43"/>
      <x:c r="I45" s="43"/>
      <x:c r="J45" s="43"/>
      <x:c r="K45" s="43"/>
      <x:c r="L45" s="43"/>
      <x:c r="M45" s="43"/>
      <x:c r="N45" s="43"/>
    </x:row>
    <x:row r="46" ht="30" customHeight="1">
      <x:c r="A46" s="35" t="str">
        <x:v>每节点DC合计</x:v>
      </x:c>
      <x:c r="B46" s="37"/>
      <x:c r="C46" s="37"/>
      <x:c r="D46" s="37"/>
      <x:c r="E46" s="37" t="n">
        <x:f>SUM(E40:E45)</x:f>
        <x:v>238</x:v>
      </x:c>
      <x:c r="F46" s="37" t="n">
        <x:f>SUM(F40:F45)</x:f>
        <x:v>362</x:v>
      </x:c>
      <x:c r="G46" s="44"/>
      <x:c r="H46" s="43"/>
      <x:c r="I46" s="43"/>
      <x:c r="J46" s="43"/>
      <x:c r="K46" s="43"/>
      <x:c r="L46" s="43"/>
      <x:c r="M46" s="43"/>
      <x:c r="N46" s="43"/>
    </x:row>
    <x:row r="47" ht="30" customHeight="1">
      <x:c r="A47" s="43"/>
      <x:c r="B47" s="50"/>
      <x:c r="C47" s="50"/>
      <x:c r="D47" s="50"/>
      <x:c r="E47" s="50"/>
      <x:c r="F47" s="50"/>
      <x:c r="G47" s="51"/>
      <x:c r="H47" s="43"/>
      <x:c r="I47" s="43"/>
      <x:c r="J47" s="43"/>
      <x:c r="K47" s="43"/>
      <x:c r="L47" s="43"/>
      <x:c r="M47" s="43"/>
      <x:c r="N47" s="43"/>
    </x:row>
    <x:row r="48" ht="30" customHeight="1">
      <x:c r="A48" s="22" t="str">
        <x:v>M5节点数量</x:v>
      </x:c>
      <x:c r="B48" s="47" t="n">
        <x:v>2</x:v>
      </x:c>
      <x:c r="C48" s="27"/>
      <x:c r="D48" s="50"/>
      <x:c r="E48" s="50"/>
      <x:c r="F48" s="50"/>
      <x:c r="G48" s="51" t="str">
        <x:v>双节点</x:v>
      </x:c>
      <x:c r="H48" s="43"/>
      <x:c r="I48" s="43"/>
      <x:c r="J48" s="43"/>
      <x:c r="K48" s="43"/>
      <x:c r="L48" s="43"/>
      <x:c r="M48" s="43"/>
      <x:c r="N48" s="43"/>
    </x:row>
    <x:row r="49" ht="30" customHeight="1">
      <x:c r="A49" s="35" t="str">
        <x:v>两个M5节点AC（W）</x:v>
      </x:c>
      <x:c r="B49" s="37" t="n">
        <x:f>E46/B11*B48</x:f>
        <x:v>506.3829787234043</x:v>
      </x:c>
      <x:c r="C49" s="37" t="n">
        <x:f>F46/C11*B48</x:f>
        <x:v>804.4444444444445</x:v>
      </x:c>
      <x:c r="D49" s="50"/>
      <x:c r="E49" s="50"/>
      <x:c r="F49" s="50"/>
      <x:c r="G49" s="51"/>
      <x:c r="H49" s="43"/>
      <x:c r="I49" s="43"/>
      <x:c r="J49" s="43"/>
      <x:c r="K49" s="43"/>
      <x:c r="L49" s="43"/>
      <x:c r="M49" s="43"/>
      <x:c r="N49" s="43"/>
    </x:row>
    <x:row r="50" ht="30" customHeight="1">
      <x:c r="A50" s="35" t="str">
        <x:v>S3260光模块（W）</x:v>
      </x:c>
      <x:c r="B50" s="37" t="n">
        <x:v>14</x:v>
      </x:c>
      <x:c r="C50" s="37" t="n">
        <x:v>14</x:v>
      </x:c>
      <x:c r="D50" s="50"/>
      <x:c r="E50" s="50"/>
      <x:c r="F50" s="50"/>
      <x:c r="G50" s="51" t="str">
        <x:v>2节点×2口×3.5 W，假设余量</x:v>
      </x:c>
      <x:c r="H50" s="43"/>
      <x:c r="I50" s="43"/>
      <x:c r="J50" s="43"/>
      <x:c r="K50" s="43"/>
      <x:c r="L50" s="43"/>
      <x:c r="M50" s="43"/>
      <x:c r="N50" s="43"/>
    </x:row>
    <x:row r="51" ht="30" customHeight="1">
      <x:c r="A51" s="35" t="str">
        <x:v>S3260整机AC（W）</x:v>
      </x:c>
      <x:c r="B51" s="37" t="n">
        <x:f>B37+B49+B50</x:f>
        <x:v>1144.8749787234042</x:v>
      </x:c>
      <x:c r="C51" s="37" t="n">
        <x:f>C37+C49+C50</x:f>
        <x:v>1774.0044444444443</x:v>
      </x:c>
      <x:c r="D51" s="50"/>
      <x:c r="E51" s="50"/>
      <x:c r="F51" s="50"/>
      <x:c r="G51" s="51"/>
      <x:c r="H51" s="43"/>
      <x:c r="I51" s="43"/>
      <x:c r="J51" s="43"/>
      <x:c r="K51" s="43"/>
      <x:c r="L51" s="43"/>
      <x:c r="M51" s="43"/>
      <x:c r="N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</x:row>
    <x:row r="54" ht="32" customHeight="1">
      <x:c r="A54" s="52" t="str">
        <x:v>项目限制</x:v>
      </x:c>
      <x:c r="B54" s="52"/>
      <x:c r="C54" s="52"/>
      <x:c r="D54" s="52"/>
      <x:c r="E54" s="52"/>
      <x:c r="F54" s="52"/>
      <x:c r="G54" s="53" t="str">
        <x:v>说明</x:v>
      </x:c>
      <x:c r="H54" s="43"/>
      <x:c r="I54" s="43"/>
      <x:c r="J54" s="43"/>
      <x:c r="K54" s="43"/>
      <x:c r="L54" s="43"/>
      <x:c r="M54" s="43"/>
      <x:c r="N54" s="43"/>
    </x:row>
    <x:row r="55" ht="66" customHeight="1">
      <x:c r="A55" s="43" t="str">
        <x:v>CPC</x:v>
      </x:c>
      <x:c r="B55" s="43"/>
      <x:c r="C55" s="43"/>
      <x:c r="D55" s="43"/>
      <x:c r="E55" s="43"/>
      <x:c r="F55" s="43"/>
      <x:c r="G55" s="51" t="str">
        <x:v>N9504已得到2732/4052W输出并换算AC。48T＋NM-8X未取得对应结果，其余网络设备使用官方资料；两只3000W为Combined，N+1至少三只。</x:v>
      </x:c>
      <x:c r="H55" s="43"/>
      <x:c r="I55" s="43"/>
      <x:c r="J55" s="43"/>
      <x:c r="K55" s="43"/>
      <x:c r="L55" s="43"/>
      <x:c r="M55" s="43"/>
      <x:c r="N55" s="43"/>
    </x:row>
    <x:row r="56" ht="32" customHeight="1">
      <x:c r="A56" s="43" t="str">
        <x:v>S3260节点</x:v>
      </x:c>
      <x:c r="B56" s="43"/>
      <x:c r="C56" s="43"/>
      <x:c r="D56" s="43"/>
      <x:c r="E56" s="43"/>
      <x:c r="F56" s="43"/>
      <x:c r="G56" s="51" t="str">
        <x:v>工具网卡数量仅为0，未生成节点结果；使用部件预算。</x:v>
      </x:c>
      <x:c r="H56" s="43"/>
      <x:c r="I56" s="43"/>
      <x:c r="J56" s="43"/>
      <x:c r="K56" s="43"/>
      <x:c r="L56" s="43"/>
      <x:c r="M56" s="43"/>
      <x:c r="N56" s="43"/>
    </x:row>
    <x:row r="57" ht="32" customHeight="1">
      <x:c r="A57" s="43" t="str">
        <x:v>规划功率</x:v>
      </x:c>
      <x:c r="B57" s="43"/>
      <x:c r="C57" s="43"/>
      <x:c r="D57" s="43"/>
      <x:c r="E57" s="43"/>
      <x:c r="F57" s="43"/>
      <x:c r="G57" s="51" t="str">
        <x:v>工具最大、手册高负载和假设预算条件不同，不是同一场景实测最大。</x:v>
      </x:c>
      <x:c r="H57" s="43"/>
      <x:c r="I57" s="43"/>
      <x:c r="J57" s="43"/>
      <x:c r="K57" s="43"/>
      <x:c r="L57" s="43"/>
      <x:c r="M57" s="43"/>
      <x:c r="N57" s="43"/>
    </x:row>
    <x:row r="58" ht="32" customHeight="1">
      <x:c r="A58" s="43" t="str">
        <x:v>统计范围</x:v>
      </x:c>
      <x:c r="B58" s="43"/>
      <x:c r="C58" s="43"/>
      <x:c r="D58" s="43"/>
      <x:c r="E58" s="43"/>
      <x:c r="F58" s="43"/>
      <x:c r="G58" s="51" t="str">
        <x:v>仅IT设备，不含制冷、UPS、配电损耗和照明；未设PUE。</x:v>
      </x:c>
      <x:c r="H58" s="43"/>
      <x:c r="I58" s="43"/>
      <x:c r="J58" s="43"/>
      <x:c r="K58" s="43"/>
      <x:c r="L58" s="43"/>
      <x:c r="M58" s="43"/>
      <x:c r="N58" s="43"/>
    </x:row>
    <x:row r="59" ht="32" customHeight="1">
      <x:c r="A59" s="43" t="str">
        <x:v>光模块</x:v>
      </x:c>
      <x:c r="B59" s="43"/>
      <x:c r="C59" s="43"/>
      <x:c r="D59" s="43"/>
      <x:c r="E59" s="43"/>
      <x:c r="F59" s="43"/>
      <x:c r="G59" s="51" t="str">
        <x:v>附加预算可能与整机测试包含的模块重叠，作为保守余量。</x:v>
      </x:c>
      <x:c r="H59" s="43"/>
      <x:c r="I59" s="43"/>
      <x:c r="J59" s="43"/>
      <x:c r="K59" s="43"/>
      <x:c r="L59" s="43"/>
      <x:c r="M59" s="43"/>
      <x:c r="N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</x:row>
    <x:row r="61" ht="36" customHeight="1">
      <x:c r="A61" s="7" t="str">
        <x:v>CPC补充记录</x:v>
      </x:c>
      <x:c r="B61" s="7" t="str">
        <x:v>运行/典型</x:v>
      </x:c>
      <x:c r="C61" s="7" t="str">
        <x:v>规划/最大</x:v>
      </x:c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</x:row>
    <x:row r="62" ht="38" customHeight="1">
      <x:c r="A62" s="35" t="str">
        <x:v>N9504 CPC转换效率</x:v>
      </x:c>
      <x:c r="B62" s="38" t="n">
        <x:v>0.9</x:v>
      </x:c>
      <x:c r="C62" s="38" t="n">
        <x:v>0.9</x:v>
      </x:c>
      <x:c r="D62" s="43"/>
      <x:c r="E62" s="43"/>
      <x:c r="F62" s="43"/>
      <x:c r="G62" s="51" t="str">
        <x:v>CPC说明：输入功率＝输出÷0.9；不是实测效率 [2]</x:v>
      </x:c>
      <x:c r="H62" s="43"/>
      <x:c r="I62" s="43"/>
      <x:c r="J62" s="43"/>
      <x:c r="K62" s="43"/>
      <x:c r="L62" s="43"/>
      <x:c r="M62" s="43"/>
      <x:c r="N62" s="43"/>
    </x:row>
    <x:row r="63" ht="38" customHeight="1">
      <x:c r="A63" s="43"/>
      <x:c r="B63" s="43"/>
      <x:c r="C63" s="43"/>
      <x:c r="D63" s="43"/>
      <x:c r="E63" s="43"/>
      <x:c r="F63" s="43"/>
      <x:c r="G63" s="51"/>
      <x:c r="H63" s="43"/>
      <x:c r="I63" s="43"/>
      <x:c r="J63" s="43"/>
      <x:c r="K63" s="43"/>
      <x:c r="L63" s="43"/>
      <x:c r="M63" s="43"/>
      <x:c r="N63" s="43"/>
    </x:row>
    <x:row r="64" ht="38" customHeight="1">
      <x:c r="A64" s="35" t="str">
        <x:v>C9300-48U对照（W）</x:v>
      </x:c>
      <x:c r="B64" s="37" t="n">
        <x:v>135</x:v>
      </x:c>
      <x:c r="C64" s="37" t="n">
        <x:v>235</x:v>
      </x:c>
      <x:c r="D64" s="43"/>
      <x:c r="E64" s="43"/>
      <x:c r="F64" s="43"/>
      <x:c r="G64" s="51" t="str">
        <x:v>TinyFish返回的其他型号，未计入48T＋NM-8X汇总</x:v>
      </x:c>
      <x:c r="H64" s="43"/>
      <x:c r="I64" s="43"/>
      <x:c r="J64" s="43"/>
      <x:c r="K64" s="43"/>
      <x:c r="L64" s="43"/>
      <x:c r="M64" s="43"/>
      <x:c r="N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8" hidden="0" customWidth="1"/>
    <x:col min="2" max="2" width="32" hidden="0" customWidth="1"/>
    <x:col min="3" max="3" width="105" hidden="0" customWidth="1"/>
    <x:col min="4" max="4" width="60" hidden="0" customWidth="1"/>
  </x:cols>
  <x:sheetData>
    <x:row r="1" ht="36" customHeight="1">
      <x:c r="A1" s="7" t="str">
        <x:v>编号</x:v>
      </x:c>
      <x:c r="B1" s="7" t="str">
        <x:v>资料名称</x:v>
      </x:c>
      <x:c r="C1" s="7" t="str">
        <x:v>网址</x:v>
      </x:c>
      <x:c r="D1" s="7" t="str">
        <x:v>适用项</x:v>
      </x:c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65" customHeight="1">
      <x:c r="A2" s="44" t="str">
        <x:v>[1]</x:v>
      </x:c>
      <x:c r="B2" s="44" t="str">
        <x:v>UCS Power Calculator</x:v>
      </x:c>
      <x:c r="C2" s="44" t="str">
        <x:v>https://ucspowercalculator.cisco.com/</x:v>
      </x:c>
      <x:c r="D2" s="44" t="str">
        <x:v>C240 M6与S3260机箱工具结果</x:v>
      </x:c>
      <x:c r="E2" s="43"/>
      <x:c r="F2" s="43"/>
      <x:c r="G2" s="43"/>
      <x:c r="H2" s="43"/>
      <x:c r="I2" s="43"/>
      <x:c r="J2" s="43"/>
      <x:c r="K2" s="43"/>
      <x:c r="L2" s="43"/>
      <x:c r="M2" s="43"/>
      <x:c r="N2" s="43"/>
    </x:row>
    <x:row r="3" ht="65" customHeight="1">
      <x:c r="A3" s="44" t="str">
        <x:v>[2]</x:v>
      </x:c>
      <x:c r="B3" s="44" t="str">
        <x:v>Cisco CPC</x:v>
      </x:c>
      <x:c r="C3" s="44" t="str">
        <x:v>https://cpc.cloudapps.cisco.com/cpc/launch.jsp</x:v>
      </x:c>
      <x:c r="D3" s="44" t="str">
        <x:v>N9504实际计算；效率90%；48U结果仅作不同型号对照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</x:row>
    <x:row r="4" ht="65" customHeight="1">
      <x:c r="A4" s="44" t="str">
        <x:v>[3]</x:v>
      </x:c>
      <x:c r="B4" s="44" t="str">
        <x:v>Nexus 9504硬件手册</x:v>
      </x:c>
      <x:c r="C4" s="44" t="str">
        <x:v>https://www.cisco.com/c/en/us/td/docs/switches/datacenter/nexus9000/hw/n9504_hig/guide/b_n9504_nxos_mode_hardware_install_guide/b_n9504_hardware_install_guide_chapter_010.html</x:v>
      </x:c>
      <x:c r="D4" s="44" t="str">
        <x:v>Preparing the Site组件功率表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</x:row>
    <x:row r="5" ht="65" customHeight="1">
      <x:c r="A5" s="44" t="str">
        <x:v>[4]</x:v>
      </x:c>
      <x:c r="B5" s="44" t="str">
        <x:v>Nexus 93180YC-FX硬件手册</x:v>
      </x:c>
      <x:c r="C5" s="44" t="str">
        <x:v>https://www.cisco.com/c/en/us/td/docs/switches/datacenter/nexus9000/hw/n93180ycfx_hig/guide/b_n93180ycFX_nxos_hardware_installation_guide/b_n93180ycFX_nxos_hardware_installation_guide_appendix_0111.html</x:v>
      </x:c>
      <x:c r="D5" s="44" t="str">
        <x:v>System Specifications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</x:row>
    <x:row r="6" ht="65" customHeight="1">
      <x:c r="A6" s="44" t="str">
        <x:v>[5]</x:v>
      </x:c>
      <x:c r="B6" s="44" t="str">
        <x:v>Catalyst 9300数据表</x:v>
      </x:c>
      <x:c r="C6" s="44" t="str">
        <x:v>https://www.cisco.com/c/en/us/products/collateral/switches/catalyst-9300-series-switches/nb-06-cat9300-ser-data-sheet-cte-en.html</x:v>
      </x:c>
      <x:c r="D6" s="44" t="str">
        <x:v>表24，C9300-48T＋NM-8X，230 VAC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</x:row>
    <x:row r="7" ht="65" customHeight="1">
      <x:c r="A7" s="44" t="str">
        <x:v>[6]</x:v>
      </x:c>
      <x:c r="B7" s="44" t="str">
        <x:v>MDS 9396T硬件手册</x:v>
      </x:c>
      <x:c r="C7" s="44" t="str">
        <x:v>https://www.cisco.com/c/en/us/td/docs/switches/datacenter/mds9000/hw/9396T/cisco_mds9396T_hardware_install_guide/tech_specs.html</x:v>
      </x:c>
      <x:c r="D7" s="44" t="str">
        <x:v>Technical Specifications表3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</x:row>
    <x:row r="8" ht="65" customHeight="1">
      <x:c r="A8" s="44" t="str">
        <x:v>[7]</x:v>
      </x:c>
      <x:c r="B8" s="44" t="str">
        <x:v>Secure Firewall 3100数据表</x:v>
      </x:c>
      <x:c r="C8" s="44" t="str">
        <x:v>https://www.cisco.com/c/en/us/products/collateral/security/firewalls/secure-firewall-3100-series-ds.html</x:v>
      </x:c>
      <x:c r="D8" s="44" t="str">
        <x:v>400 W电源，50%负载效率大于89%</x:v>
      </x:c>
      <x:c r="E8" s="43"/>
      <x:c r="F8" s="43"/>
      <x:c r="G8" s="43"/>
      <x:c r="H8" s="43"/>
      <x:c r="I8" s="43"/>
      <x:c r="J8" s="43"/>
      <x:c r="K8" s="43"/>
      <x:c r="L8" s="43"/>
      <x:c r="M8" s="43"/>
      <x:c r="N8" s="43"/>
    </x:row>
    <x:row r="9" ht="65" customHeight="1">
      <x:c r="A9" s="44" t="str">
        <x:v>[8]</x:v>
      </x:c>
      <x:c r="B9" s="44" t="str">
        <x:v>UCS VIC 1400系列数据表</x:v>
      </x:c>
      <x:c r="C9" s="44" t="str">
        <x:v>https://www.cisco.com/c/en/us/products/collateral/interfaces-modules/unified-computing-system-adapters/datasheet-c78-741130.html</x:v>
      </x:c>
      <x:c r="D9" s="44" t="str">
        <x:v>VIC1457与1467支持机型</x:v>
      </x:c>
      <x:c r="E9" s="43"/>
      <x:c r="F9" s="43"/>
      <x:c r="G9" s="43"/>
      <x:c r="H9" s="43"/>
      <x:c r="I9" s="43"/>
      <x:c r="J9" s="43"/>
      <x:c r="K9" s="43"/>
      <x:c r="L9" s="43"/>
      <x:c r="M9" s="43"/>
      <x:c r="N9" s="43"/>
    </x:row>
    <x:row r="10" ht="65" customHeight="1">
      <x:c r="A10" s="44" t="str">
        <x:v>[9]</x:v>
      </x:c>
      <x:c r="B10" s="44" t="str">
        <x:v>Nexus 9504模块带宽说明</x:v>
      </x:c>
      <x:c r="C10" s="44" t="str">
        <x:v>https://www.cisco.com/c/en/us/td/docs/switches/datacenter/nexus9000/hw/n9504_hig/guide/b_n9504_nxos_mode_hardware_install_guide/b_n9504_hardware_install_guide_chapter_01.html</x:v>
      </x:c>
      <x:c r="D10" s="44" t="str">
        <x:v>EX线卡4块、FX线卡5块FM-E才达到最大带宽</x:v>
      </x:c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</x:row>
    <x:row r="12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</x:row>
    <x:row r="13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</x:row>
    <x:row r="14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</x:row>
    <x:row r="15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</x:row>
    <x:row r="16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</x:row>
    <x:row r="17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</x:row>
    <x:row r="18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</x:row>
    <x:row r="19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</x:row>
    <x:row r="20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</x:row>
    <x:row r="2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</x:row>
    <x:row r="22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</x:row>
    <x:row r="23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</x:row>
    <x:row r="24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</x:row>
    <x:row r="25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</x:row>
    <x:row r="26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</x:row>
    <x:row r="27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</x:row>
    <x:row r="28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  <x:row r="29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</x:row>
    <x:row r="30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</x:row>
    <x:row r="3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</x:row>
    <x:row r="32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</x:row>
    <x:row r="33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</x:row>
    <x:row r="34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</x:row>
    <x:row r="35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</x:row>
    <x:row r="36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</x:row>
    <x:row r="37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</x:row>
    <x:row r="38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</x:row>
    <x:row r="39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</x:row>
    <x:row r="40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</x:row>
    <x:row r="4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</x:row>
    <x:row r="42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</x:row>
    <x:row r="43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</x:row>
    <x:row r="44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</x:row>
    <x:row r="45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</x:row>
    <x:row r="46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</x:row>
    <x:row r="47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</x:row>
    <x:row r="48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</x:row>
    <x:row r="49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</x:row>
    <x:row r="50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</x:row>
    <x:row r="5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</x:row>
    <x:row r="52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</x:row>
    <x:row r="53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</x:row>
    <x:row r="54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</x:row>
    <x:row r="55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</x:row>
    <x:row r="56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</x:row>
    <x:row r="57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</x:row>
    <x:row r="58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</x:row>
    <x:row r="59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</x:row>
    <x:row r="60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</x:row>
    <x:row r="6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</x:row>
    <x:row r="62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</x:row>
  </x:sheetData>
  <x:pageMargins left="0.7" right="0.7" top="0.75" bottom="0.75" header="0.3" footer="0.3"/>
</x:worksheet>
</file>